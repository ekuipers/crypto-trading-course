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rade Log" sheetId="2" state="visible" r:id="rId2"/>
    <sheet name="Dashboard" sheetId="3" state="visible" r:id="rId3"/>
    <sheet name="Back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&quot;$&quot;#,##0"/>
    <numFmt numFmtId="166" formatCode="0.00&quot;%&quot;"/>
    <numFmt numFmtId="167" formatCode="yyyy-mm-dd"/>
    <numFmt numFmtId="168" formatCode="0.0%"/>
    <numFmt numFmtId="169" formatCode="0.00&quot; R&quot;"/>
  </numFmts>
  <fonts count="5">
    <font>
      <name val="Calibri"/>
      <family val="2"/>
      <color theme="1"/>
      <sz val="11"/>
      <scheme val="minor"/>
    </font>
    <font>
      <b val="1"/>
      <color rgb="001B2330"/>
      <sz val="14"/>
    </font>
    <font>
      <i val="1"/>
      <color rgb="005B6675"/>
    </font>
    <font>
      <b val="1"/>
      <color rgb="001B2330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1B2330"/>
        <bgColor rgb="001B2330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167" fontId="0" fillId="2" borderId="1" pivotButton="0" quotePrefix="0" xfId="0"/>
    <xf numFmtId="0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0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Crypto Trading — Journal &amp; Backtest Template</t>
        </is>
      </c>
    </row>
    <row r="2">
      <c r="A2" s="2" t="inlineStr">
        <is>
          <t>Companion spreadsheet for the Crypto Trading Micro-Learning course.</t>
        </is>
      </c>
    </row>
    <row r="3">
      <c r="A3" t="inlineStr"/>
    </row>
    <row r="4">
      <c r="A4" s="3" t="inlineStr">
        <is>
          <t>How to use this workbook</t>
        </is>
      </c>
    </row>
    <row r="5">
      <c r="A5" s="4" t="inlineStr">
        <is>
          <t>1. Trade Log — log every real or demo trade the moment you take it. Type only the blue columns (Date, Pair, Direction, Entry, Stop, Target, Size, Account size, Risk %, Exit price, Reason, Result, Lesson). The grey columns (Risk $, P/L $, R-multiple) calculate automatically.</t>
        </is>
      </c>
    </row>
    <row r="6">
      <c r="A6" s="4" t="inlineStr">
        <is>
          <t>2. Dashboard — reads directly from the Trade Log and shows your win rate, average R, total R, and expectancy. Refreshes automatically as you add rows — nothing to type here.</t>
        </is>
      </c>
    </row>
    <row r="7">
      <c r="A7" s="4" t="inlineStr">
        <is>
          <t>3. Backtest — before risking real money on a new playbook, replay it against historical charts. Log each hypothetical trade the same way, then check the summary stats to see whether the rule set has positive expectancy over a meaningful sample (aim for 30-100+ trades).</t>
        </is>
      </c>
    </row>
    <row r="8">
      <c r="A8" t="inlineStr"/>
    </row>
    <row r="9">
      <c r="A9" s="3" t="inlineStr">
        <is>
          <t>Column legend</t>
        </is>
      </c>
    </row>
    <row r="10">
      <c r="A10" t="inlineStr">
        <is>
          <t xml:space="preserve">  Blue background  = type your own values here.</t>
        </is>
      </c>
    </row>
    <row r="11">
      <c r="A11" t="inlineStr">
        <is>
          <t xml:space="preserve">  Grey background  = formula-driven; leave these alone.</t>
        </is>
      </c>
    </row>
    <row r="12">
      <c r="A12" t="inlineStr"/>
    </row>
    <row r="13">
      <c r="A13" s="3" t="inlineStr">
        <is>
          <t>Key formulas used</t>
        </is>
      </c>
    </row>
    <row r="14">
      <c r="A14" t="inlineStr">
        <is>
          <t xml:space="preserve">  Risk $        = ABS(Entry - Stop) x Size</t>
        </is>
      </c>
    </row>
    <row r="15">
      <c r="A15" t="inlineStr">
        <is>
          <t xml:space="preserve">  P/L $         = (Exit - Entry) x Size, sign-flipped for Short positions</t>
        </is>
      </c>
    </row>
    <row r="16">
      <c r="A16" t="inlineStr">
        <is>
          <t xml:space="preserve">  R-multiple    = P/L $ / Risk $   (how many multiples of your planned risk you made or lost)</t>
        </is>
      </c>
    </row>
    <row r="17">
      <c r="A17" t="inlineStr">
        <is>
          <t xml:space="preserve">  Win rate      = wins / total closed trades</t>
        </is>
      </c>
    </row>
    <row r="18">
      <c r="A18" t="inlineStr">
        <is>
          <t xml:space="preserve">  Expectancy    = average R-multiple across all closed trades</t>
        </is>
      </c>
    </row>
    <row r="19">
      <c r="A19" t="inlineStr"/>
    </row>
    <row r="20">
      <c r="A20" s="4" t="inlineStr">
        <is>
          <t>This program is educational only and is not financial advice. Crypto is highly volatile; never risk money you can't afford to lose.</t>
        </is>
      </c>
    </row>
    <row r="22">
      <c r="A22" s="5" t="inlineStr">
        <is>
          <t>Blue = type here</t>
        </is>
      </c>
    </row>
    <row r="23">
      <c r="A23" s="6" t="inlineStr">
        <is>
          <t>Grey = auto-calculated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2" customWidth="1" min="7" max="7"/>
    <col width="14" customWidth="1" min="8" max="8"/>
    <col width="9" customWidth="1" min="9" max="9"/>
    <col width="10" customWidth="1" min="10" max="10"/>
    <col width="11" customWidth="1" min="11" max="11"/>
    <col width="10" customWidth="1" min="12" max="12"/>
    <col width="11" customWidth="1" min="13" max="13"/>
    <col width="22" customWidth="1" min="14" max="14"/>
    <col width="10" customWidth="1" min="15" max="15"/>
    <col width="26" customWidth="1" min="16" max="16"/>
  </cols>
  <sheetData>
    <row r="1">
      <c r="A1" s="7" t="inlineStr">
        <is>
          <t>Date</t>
        </is>
      </c>
      <c r="B1" s="7" t="inlineStr">
        <is>
          <t>Pair</t>
        </is>
      </c>
      <c r="C1" s="7" t="inlineStr">
        <is>
          <t>Direction</t>
        </is>
      </c>
      <c r="D1" s="7" t="inlineStr">
        <is>
          <t>Entry</t>
        </is>
      </c>
      <c r="E1" s="7" t="inlineStr">
        <is>
          <t>Stop</t>
        </is>
      </c>
      <c r="F1" s="7" t="inlineStr">
        <is>
          <t>Target</t>
        </is>
      </c>
      <c r="G1" s="7" t="inlineStr">
        <is>
          <t>Size (units)</t>
        </is>
      </c>
      <c r="H1" s="7" t="inlineStr">
        <is>
          <t>Account size ($)</t>
        </is>
      </c>
      <c r="I1" s="7" t="inlineStr">
        <is>
          <t>Risk %</t>
        </is>
      </c>
      <c r="J1" s="7" t="inlineStr">
        <is>
          <t>Risk $</t>
        </is>
      </c>
      <c r="K1" s="7" t="inlineStr">
        <is>
          <t>Exit price</t>
        </is>
      </c>
      <c r="L1" s="7" t="inlineStr">
        <is>
          <t>P/L $</t>
        </is>
      </c>
      <c r="M1" s="7" t="inlineStr">
        <is>
          <t>R-multiple</t>
        </is>
      </c>
      <c r="N1" s="7" t="inlineStr">
        <is>
          <t>Reason</t>
        </is>
      </c>
      <c r="O1" s="7" t="inlineStr">
        <is>
          <t>Result</t>
        </is>
      </c>
      <c r="P1" s="7" t="inlineStr">
        <is>
          <t>Lesson</t>
        </is>
      </c>
    </row>
    <row r="2">
      <c r="A2" s="8" t="n"/>
      <c r="B2" s="9" t="n"/>
      <c r="C2" s="9" t="n"/>
      <c r="D2" s="10" t="n"/>
      <c r="E2" s="10" t="n"/>
      <c r="F2" s="10" t="n"/>
      <c r="G2" s="9" t="n"/>
      <c r="H2" s="11" t="n"/>
      <c r="I2" s="12" t="n"/>
      <c r="J2" s="13">
        <f>IF(OR(D2="",E2="",G2=""),"",ABS(D2-E2)*G2)</f>
        <v/>
      </c>
      <c r="K2" s="10" t="n"/>
      <c r="L2" s="13">
        <f>IF(OR(D2="",K2="",G2=""),"",IF(LOWER(C2)="short",(D2-K2)*G2,(K2-D2)*G2))</f>
        <v/>
      </c>
      <c r="M2" s="14">
        <f>IF(OR(L2="",J2="",J2=0),"",L2/J2)</f>
        <v/>
      </c>
      <c r="N2" s="9" t="n"/>
      <c r="O2" s="9" t="n"/>
      <c r="P2" s="9" t="n"/>
    </row>
    <row r="3">
      <c r="A3" s="8" t="n"/>
      <c r="B3" s="9" t="n"/>
      <c r="C3" s="9" t="n"/>
      <c r="D3" s="10" t="n"/>
      <c r="E3" s="10" t="n"/>
      <c r="F3" s="10" t="n"/>
      <c r="G3" s="9" t="n"/>
      <c r="H3" s="11" t="n"/>
      <c r="I3" s="12" t="n"/>
      <c r="J3" s="13">
        <f>IF(OR(D3="",E3="",G3=""),"",ABS(D3-E3)*G3)</f>
        <v/>
      </c>
      <c r="K3" s="10" t="n"/>
      <c r="L3" s="13">
        <f>IF(OR(D3="",K3="",G3=""),"",IF(LOWER(C3)="short",(D3-K3)*G3,(K3-D3)*G3))</f>
        <v/>
      </c>
      <c r="M3" s="14">
        <f>IF(OR(L3="",J3="",J3=0),"",L3/J3)</f>
        <v/>
      </c>
      <c r="N3" s="9" t="n"/>
      <c r="O3" s="9" t="n"/>
      <c r="P3" s="9" t="n"/>
    </row>
    <row r="4">
      <c r="A4" s="8" t="n"/>
      <c r="B4" s="9" t="n"/>
      <c r="C4" s="9" t="n"/>
      <c r="D4" s="10" t="n"/>
      <c r="E4" s="10" t="n"/>
      <c r="F4" s="10" t="n"/>
      <c r="G4" s="9" t="n"/>
      <c r="H4" s="11" t="n"/>
      <c r="I4" s="12" t="n"/>
      <c r="J4" s="13">
        <f>IF(OR(D4="",E4="",G4=""),"",ABS(D4-E4)*G4)</f>
        <v/>
      </c>
      <c r="K4" s="10" t="n"/>
      <c r="L4" s="13">
        <f>IF(OR(D4="",K4="",G4=""),"",IF(LOWER(C4)="short",(D4-K4)*G4,(K4-D4)*G4))</f>
        <v/>
      </c>
      <c r="M4" s="14">
        <f>IF(OR(L4="",J4="",J4=0),"",L4/J4)</f>
        <v/>
      </c>
      <c r="N4" s="9" t="n"/>
      <c r="O4" s="9" t="n"/>
      <c r="P4" s="9" t="n"/>
    </row>
    <row r="5">
      <c r="A5" s="8" t="n"/>
      <c r="B5" s="9" t="n"/>
      <c r="C5" s="9" t="n"/>
      <c r="D5" s="10" t="n"/>
      <c r="E5" s="10" t="n"/>
      <c r="F5" s="10" t="n"/>
      <c r="G5" s="9" t="n"/>
      <c r="H5" s="11" t="n"/>
      <c r="I5" s="12" t="n"/>
      <c r="J5" s="13">
        <f>IF(OR(D5="",E5="",G5=""),"",ABS(D5-E5)*G5)</f>
        <v/>
      </c>
      <c r="K5" s="10" t="n"/>
      <c r="L5" s="13">
        <f>IF(OR(D5="",K5="",G5=""),"",IF(LOWER(C5)="short",(D5-K5)*G5,(K5-D5)*G5))</f>
        <v/>
      </c>
      <c r="M5" s="14">
        <f>IF(OR(L5="",J5="",J5=0),"",L5/J5)</f>
        <v/>
      </c>
      <c r="N5" s="9" t="n"/>
      <c r="O5" s="9" t="n"/>
      <c r="P5" s="9" t="n"/>
    </row>
    <row r="6">
      <c r="A6" s="8" t="n"/>
      <c r="B6" s="9" t="n"/>
      <c r="C6" s="9" t="n"/>
      <c r="D6" s="10" t="n"/>
      <c r="E6" s="10" t="n"/>
      <c r="F6" s="10" t="n"/>
      <c r="G6" s="9" t="n"/>
      <c r="H6" s="11" t="n"/>
      <c r="I6" s="12" t="n"/>
      <c r="J6" s="13">
        <f>IF(OR(D6="",E6="",G6=""),"",ABS(D6-E6)*G6)</f>
        <v/>
      </c>
      <c r="K6" s="10" t="n"/>
      <c r="L6" s="13">
        <f>IF(OR(D6="",K6="",G6=""),"",IF(LOWER(C6)="short",(D6-K6)*G6,(K6-D6)*G6))</f>
        <v/>
      </c>
      <c r="M6" s="14">
        <f>IF(OR(L6="",J6="",J6=0),"",L6/J6)</f>
        <v/>
      </c>
      <c r="N6" s="9" t="n"/>
      <c r="O6" s="9" t="n"/>
      <c r="P6" s="9" t="n"/>
    </row>
    <row r="7">
      <c r="A7" s="8" t="n"/>
      <c r="B7" s="9" t="n"/>
      <c r="C7" s="9" t="n"/>
      <c r="D7" s="10" t="n"/>
      <c r="E7" s="10" t="n"/>
      <c r="F7" s="10" t="n"/>
      <c r="G7" s="9" t="n"/>
      <c r="H7" s="11" t="n"/>
      <c r="I7" s="12" t="n"/>
      <c r="J7" s="13">
        <f>IF(OR(D7="",E7="",G7=""),"",ABS(D7-E7)*G7)</f>
        <v/>
      </c>
      <c r="K7" s="10" t="n"/>
      <c r="L7" s="13">
        <f>IF(OR(D7="",K7="",G7=""),"",IF(LOWER(C7)="short",(D7-K7)*G7,(K7-D7)*G7))</f>
        <v/>
      </c>
      <c r="M7" s="14">
        <f>IF(OR(L7="",J7="",J7=0),"",L7/J7)</f>
        <v/>
      </c>
      <c r="N7" s="9" t="n"/>
      <c r="O7" s="9" t="n"/>
      <c r="P7" s="9" t="n"/>
    </row>
    <row r="8">
      <c r="A8" s="8" t="n"/>
      <c r="B8" s="9" t="n"/>
      <c r="C8" s="9" t="n"/>
      <c r="D8" s="10" t="n"/>
      <c r="E8" s="10" t="n"/>
      <c r="F8" s="10" t="n"/>
      <c r="G8" s="9" t="n"/>
      <c r="H8" s="11" t="n"/>
      <c r="I8" s="12" t="n"/>
      <c r="J8" s="13">
        <f>IF(OR(D8="",E8="",G8=""),"",ABS(D8-E8)*G8)</f>
        <v/>
      </c>
      <c r="K8" s="10" t="n"/>
      <c r="L8" s="13">
        <f>IF(OR(D8="",K8="",G8=""),"",IF(LOWER(C8)="short",(D8-K8)*G8,(K8-D8)*G8))</f>
        <v/>
      </c>
      <c r="M8" s="14">
        <f>IF(OR(L8="",J8="",J8=0),"",L8/J8)</f>
        <v/>
      </c>
      <c r="N8" s="9" t="n"/>
      <c r="O8" s="9" t="n"/>
      <c r="P8" s="9" t="n"/>
    </row>
    <row r="9">
      <c r="A9" s="8" t="n"/>
      <c r="B9" s="9" t="n"/>
      <c r="C9" s="9" t="n"/>
      <c r="D9" s="10" t="n"/>
      <c r="E9" s="10" t="n"/>
      <c r="F9" s="10" t="n"/>
      <c r="G9" s="9" t="n"/>
      <c r="H9" s="11" t="n"/>
      <c r="I9" s="12" t="n"/>
      <c r="J9" s="13">
        <f>IF(OR(D9="",E9="",G9=""),"",ABS(D9-E9)*G9)</f>
        <v/>
      </c>
      <c r="K9" s="10" t="n"/>
      <c r="L9" s="13">
        <f>IF(OR(D9="",K9="",G9=""),"",IF(LOWER(C9)="short",(D9-K9)*G9,(K9-D9)*G9))</f>
        <v/>
      </c>
      <c r="M9" s="14">
        <f>IF(OR(L9="",J9="",J9=0),"",L9/J9)</f>
        <v/>
      </c>
      <c r="N9" s="9" t="n"/>
      <c r="O9" s="9" t="n"/>
      <c r="P9" s="9" t="n"/>
    </row>
    <row r="10">
      <c r="A10" s="8" t="n"/>
      <c r="B10" s="9" t="n"/>
      <c r="C10" s="9" t="n"/>
      <c r="D10" s="10" t="n"/>
      <c r="E10" s="10" t="n"/>
      <c r="F10" s="10" t="n"/>
      <c r="G10" s="9" t="n"/>
      <c r="H10" s="11" t="n"/>
      <c r="I10" s="12" t="n"/>
      <c r="J10" s="13">
        <f>IF(OR(D10="",E10="",G10=""),"",ABS(D10-E10)*G10)</f>
        <v/>
      </c>
      <c r="K10" s="10" t="n"/>
      <c r="L10" s="13">
        <f>IF(OR(D10="",K10="",G10=""),"",IF(LOWER(C10)="short",(D10-K10)*G10,(K10-D10)*G10))</f>
        <v/>
      </c>
      <c r="M10" s="14">
        <f>IF(OR(L10="",J10="",J10=0),"",L10/J10)</f>
        <v/>
      </c>
      <c r="N10" s="9" t="n"/>
      <c r="O10" s="9" t="n"/>
      <c r="P10" s="9" t="n"/>
    </row>
    <row r="11">
      <c r="A11" s="8" t="n"/>
      <c r="B11" s="9" t="n"/>
      <c r="C11" s="9" t="n"/>
      <c r="D11" s="10" t="n"/>
      <c r="E11" s="10" t="n"/>
      <c r="F11" s="10" t="n"/>
      <c r="G11" s="9" t="n"/>
      <c r="H11" s="11" t="n"/>
      <c r="I11" s="12" t="n"/>
      <c r="J11" s="13">
        <f>IF(OR(D11="",E11="",G11=""),"",ABS(D11-E11)*G11)</f>
        <v/>
      </c>
      <c r="K11" s="10" t="n"/>
      <c r="L11" s="13">
        <f>IF(OR(D11="",K11="",G11=""),"",IF(LOWER(C11)="short",(D11-K11)*G11,(K11-D11)*G11))</f>
        <v/>
      </c>
      <c r="M11" s="14">
        <f>IF(OR(L11="",J11="",J11=0),"",L11/J11)</f>
        <v/>
      </c>
      <c r="N11" s="9" t="n"/>
      <c r="O11" s="9" t="n"/>
      <c r="P11" s="9" t="n"/>
    </row>
    <row r="12">
      <c r="A12" s="8" t="n"/>
      <c r="B12" s="9" t="n"/>
      <c r="C12" s="9" t="n"/>
      <c r="D12" s="10" t="n"/>
      <c r="E12" s="10" t="n"/>
      <c r="F12" s="10" t="n"/>
      <c r="G12" s="9" t="n"/>
      <c r="H12" s="11" t="n"/>
      <c r="I12" s="12" t="n"/>
      <c r="J12" s="13">
        <f>IF(OR(D12="",E12="",G12=""),"",ABS(D12-E12)*G12)</f>
        <v/>
      </c>
      <c r="K12" s="10" t="n"/>
      <c r="L12" s="13">
        <f>IF(OR(D12="",K12="",G12=""),"",IF(LOWER(C12)="short",(D12-K12)*G12,(K12-D12)*G12))</f>
        <v/>
      </c>
      <c r="M12" s="14">
        <f>IF(OR(L12="",J12="",J12=0),"",L12/J12)</f>
        <v/>
      </c>
      <c r="N12" s="9" t="n"/>
      <c r="O12" s="9" t="n"/>
      <c r="P12" s="9" t="n"/>
    </row>
    <row r="13">
      <c r="A13" s="8" t="n"/>
      <c r="B13" s="9" t="n"/>
      <c r="C13" s="9" t="n"/>
      <c r="D13" s="10" t="n"/>
      <c r="E13" s="10" t="n"/>
      <c r="F13" s="10" t="n"/>
      <c r="G13" s="9" t="n"/>
      <c r="H13" s="11" t="n"/>
      <c r="I13" s="12" t="n"/>
      <c r="J13" s="13">
        <f>IF(OR(D13="",E13="",G13=""),"",ABS(D13-E13)*G13)</f>
        <v/>
      </c>
      <c r="K13" s="10" t="n"/>
      <c r="L13" s="13">
        <f>IF(OR(D13="",K13="",G13=""),"",IF(LOWER(C13)="short",(D13-K13)*G13,(K13-D13)*G13))</f>
        <v/>
      </c>
      <c r="M13" s="14">
        <f>IF(OR(L13="",J13="",J13=0),"",L13/J13)</f>
        <v/>
      </c>
      <c r="N13" s="9" t="n"/>
      <c r="O13" s="9" t="n"/>
      <c r="P13" s="9" t="n"/>
    </row>
    <row r="14">
      <c r="A14" s="8" t="n"/>
      <c r="B14" s="9" t="n"/>
      <c r="C14" s="9" t="n"/>
      <c r="D14" s="10" t="n"/>
      <c r="E14" s="10" t="n"/>
      <c r="F14" s="10" t="n"/>
      <c r="G14" s="9" t="n"/>
      <c r="H14" s="11" t="n"/>
      <c r="I14" s="12" t="n"/>
      <c r="J14" s="13">
        <f>IF(OR(D14="",E14="",G14=""),"",ABS(D14-E14)*G14)</f>
        <v/>
      </c>
      <c r="K14" s="10" t="n"/>
      <c r="L14" s="13">
        <f>IF(OR(D14="",K14="",G14=""),"",IF(LOWER(C14)="short",(D14-K14)*G14,(K14-D14)*G14))</f>
        <v/>
      </c>
      <c r="M14" s="14">
        <f>IF(OR(L14="",J14="",J14=0),"",L14/J14)</f>
        <v/>
      </c>
      <c r="N14" s="9" t="n"/>
      <c r="O14" s="9" t="n"/>
      <c r="P14" s="9" t="n"/>
    </row>
    <row r="15">
      <c r="A15" s="8" t="n"/>
      <c r="B15" s="9" t="n"/>
      <c r="C15" s="9" t="n"/>
      <c r="D15" s="10" t="n"/>
      <c r="E15" s="10" t="n"/>
      <c r="F15" s="10" t="n"/>
      <c r="G15" s="9" t="n"/>
      <c r="H15" s="11" t="n"/>
      <c r="I15" s="12" t="n"/>
      <c r="J15" s="13">
        <f>IF(OR(D15="",E15="",G15=""),"",ABS(D15-E15)*G15)</f>
        <v/>
      </c>
      <c r="K15" s="10" t="n"/>
      <c r="L15" s="13">
        <f>IF(OR(D15="",K15="",G15=""),"",IF(LOWER(C15)="short",(D15-K15)*G15,(K15-D15)*G15))</f>
        <v/>
      </c>
      <c r="M15" s="14">
        <f>IF(OR(L15="",J15="",J15=0),"",L15/J15)</f>
        <v/>
      </c>
      <c r="N15" s="9" t="n"/>
      <c r="O15" s="9" t="n"/>
      <c r="P15" s="9" t="n"/>
    </row>
    <row r="16">
      <c r="A16" s="8" t="n"/>
      <c r="B16" s="9" t="n"/>
      <c r="C16" s="9" t="n"/>
      <c r="D16" s="10" t="n"/>
      <c r="E16" s="10" t="n"/>
      <c r="F16" s="10" t="n"/>
      <c r="G16" s="9" t="n"/>
      <c r="H16" s="11" t="n"/>
      <c r="I16" s="12" t="n"/>
      <c r="J16" s="13">
        <f>IF(OR(D16="",E16="",G16=""),"",ABS(D16-E16)*G16)</f>
        <v/>
      </c>
      <c r="K16" s="10" t="n"/>
      <c r="L16" s="13">
        <f>IF(OR(D16="",K16="",G16=""),"",IF(LOWER(C16)="short",(D16-K16)*G16,(K16-D16)*G16))</f>
        <v/>
      </c>
      <c r="M16" s="14">
        <f>IF(OR(L16="",J16="",J16=0),"",L16/J16)</f>
        <v/>
      </c>
      <c r="N16" s="9" t="n"/>
      <c r="O16" s="9" t="n"/>
      <c r="P16" s="9" t="n"/>
    </row>
    <row r="17">
      <c r="A17" s="8" t="n"/>
      <c r="B17" s="9" t="n"/>
      <c r="C17" s="9" t="n"/>
      <c r="D17" s="10" t="n"/>
      <c r="E17" s="10" t="n"/>
      <c r="F17" s="10" t="n"/>
      <c r="G17" s="9" t="n"/>
      <c r="H17" s="11" t="n"/>
      <c r="I17" s="12" t="n"/>
      <c r="J17" s="13">
        <f>IF(OR(D17="",E17="",G17=""),"",ABS(D17-E17)*G17)</f>
        <v/>
      </c>
      <c r="K17" s="10" t="n"/>
      <c r="L17" s="13">
        <f>IF(OR(D17="",K17="",G17=""),"",IF(LOWER(C17)="short",(D17-K17)*G17,(K17-D17)*G17))</f>
        <v/>
      </c>
      <c r="M17" s="14">
        <f>IF(OR(L17="",J17="",J17=0),"",L17/J17)</f>
        <v/>
      </c>
      <c r="N17" s="9" t="n"/>
      <c r="O17" s="9" t="n"/>
      <c r="P17" s="9" t="n"/>
    </row>
    <row r="18">
      <c r="A18" s="8" t="n"/>
      <c r="B18" s="9" t="n"/>
      <c r="C18" s="9" t="n"/>
      <c r="D18" s="10" t="n"/>
      <c r="E18" s="10" t="n"/>
      <c r="F18" s="10" t="n"/>
      <c r="G18" s="9" t="n"/>
      <c r="H18" s="11" t="n"/>
      <c r="I18" s="12" t="n"/>
      <c r="J18" s="13">
        <f>IF(OR(D18="",E18="",G18=""),"",ABS(D18-E18)*G18)</f>
        <v/>
      </c>
      <c r="K18" s="10" t="n"/>
      <c r="L18" s="13">
        <f>IF(OR(D18="",K18="",G18=""),"",IF(LOWER(C18)="short",(D18-K18)*G18,(K18-D18)*G18))</f>
        <v/>
      </c>
      <c r="M18" s="14">
        <f>IF(OR(L18="",J18="",J18=0),"",L18/J18)</f>
        <v/>
      </c>
      <c r="N18" s="9" t="n"/>
      <c r="O18" s="9" t="n"/>
      <c r="P18" s="9" t="n"/>
    </row>
    <row r="19">
      <c r="A19" s="8" t="n"/>
      <c r="B19" s="9" t="n"/>
      <c r="C19" s="9" t="n"/>
      <c r="D19" s="10" t="n"/>
      <c r="E19" s="10" t="n"/>
      <c r="F19" s="10" t="n"/>
      <c r="G19" s="9" t="n"/>
      <c r="H19" s="11" t="n"/>
      <c r="I19" s="12" t="n"/>
      <c r="J19" s="13">
        <f>IF(OR(D19="",E19="",G19=""),"",ABS(D19-E19)*G19)</f>
        <v/>
      </c>
      <c r="K19" s="10" t="n"/>
      <c r="L19" s="13">
        <f>IF(OR(D19="",K19="",G19=""),"",IF(LOWER(C19)="short",(D19-K19)*G19,(K19-D19)*G19))</f>
        <v/>
      </c>
      <c r="M19" s="14">
        <f>IF(OR(L19="",J19="",J19=0),"",L19/J19)</f>
        <v/>
      </c>
      <c r="N19" s="9" t="n"/>
      <c r="O19" s="9" t="n"/>
      <c r="P19" s="9" t="n"/>
    </row>
    <row r="20">
      <c r="A20" s="8" t="n"/>
      <c r="B20" s="9" t="n"/>
      <c r="C20" s="9" t="n"/>
      <c r="D20" s="10" t="n"/>
      <c r="E20" s="10" t="n"/>
      <c r="F20" s="10" t="n"/>
      <c r="G20" s="9" t="n"/>
      <c r="H20" s="11" t="n"/>
      <c r="I20" s="12" t="n"/>
      <c r="J20" s="13">
        <f>IF(OR(D20="",E20="",G20=""),"",ABS(D20-E20)*G20)</f>
        <v/>
      </c>
      <c r="K20" s="10" t="n"/>
      <c r="L20" s="13">
        <f>IF(OR(D20="",K20="",G20=""),"",IF(LOWER(C20)="short",(D20-K20)*G20,(K20-D20)*G20))</f>
        <v/>
      </c>
      <c r="M20" s="14">
        <f>IF(OR(L20="",J20="",J20=0),"",L20/J20)</f>
        <v/>
      </c>
      <c r="N20" s="9" t="n"/>
      <c r="O20" s="9" t="n"/>
      <c r="P20" s="9" t="n"/>
    </row>
    <row r="21">
      <c r="A21" s="8" t="n"/>
      <c r="B21" s="9" t="n"/>
      <c r="C21" s="9" t="n"/>
      <c r="D21" s="10" t="n"/>
      <c r="E21" s="10" t="n"/>
      <c r="F21" s="10" t="n"/>
      <c r="G21" s="9" t="n"/>
      <c r="H21" s="11" t="n"/>
      <c r="I21" s="12" t="n"/>
      <c r="J21" s="13">
        <f>IF(OR(D21="",E21="",G21=""),"",ABS(D21-E21)*G21)</f>
        <v/>
      </c>
      <c r="K21" s="10" t="n"/>
      <c r="L21" s="13">
        <f>IF(OR(D21="",K21="",G21=""),"",IF(LOWER(C21)="short",(D21-K21)*G21,(K21-D21)*G21))</f>
        <v/>
      </c>
      <c r="M21" s="14">
        <f>IF(OR(L21="",J21="",J21=0),"",L21/J21)</f>
        <v/>
      </c>
      <c r="N21" s="9" t="n"/>
      <c r="O21" s="9" t="n"/>
      <c r="P21" s="9" t="n"/>
    </row>
    <row r="22">
      <c r="A22" s="8" t="n"/>
      <c r="B22" s="9" t="n"/>
      <c r="C22" s="9" t="n"/>
      <c r="D22" s="10" t="n"/>
      <c r="E22" s="10" t="n"/>
      <c r="F22" s="10" t="n"/>
      <c r="G22" s="9" t="n"/>
      <c r="H22" s="11" t="n"/>
      <c r="I22" s="12" t="n"/>
      <c r="J22" s="13">
        <f>IF(OR(D22="",E22="",G22=""),"",ABS(D22-E22)*G22)</f>
        <v/>
      </c>
      <c r="K22" s="10" t="n"/>
      <c r="L22" s="13">
        <f>IF(OR(D22="",K22="",G22=""),"",IF(LOWER(C22)="short",(D22-K22)*G22,(K22-D22)*G22))</f>
        <v/>
      </c>
      <c r="M22" s="14">
        <f>IF(OR(L22="",J22="",J22=0),"",L22/J22)</f>
        <v/>
      </c>
      <c r="N22" s="9" t="n"/>
      <c r="O22" s="9" t="n"/>
      <c r="P22" s="9" t="n"/>
    </row>
    <row r="23">
      <c r="A23" s="8" t="n"/>
      <c r="B23" s="9" t="n"/>
      <c r="C23" s="9" t="n"/>
      <c r="D23" s="10" t="n"/>
      <c r="E23" s="10" t="n"/>
      <c r="F23" s="10" t="n"/>
      <c r="G23" s="9" t="n"/>
      <c r="H23" s="11" t="n"/>
      <c r="I23" s="12" t="n"/>
      <c r="J23" s="13">
        <f>IF(OR(D23="",E23="",G23=""),"",ABS(D23-E23)*G23)</f>
        <v/>
      </c>
      <c r="K23" s="10" t="n"/>
      <c r="L23" s="13">
        <f>IF(OR(D23="",K23="",G23=""),"",IF(LOWER(C23)="short",(D23-K23)*G23,(K23-D23)*G23))</f>
        <v/>
      </c>
      <c r="M23" s="14">
        <f>IF(OR(L23="",J23="",J23=0),"",L23/J23)</f>
        <v/>
      </c>
      <c r="N23" s="9" t="n"/>
      <c r="O23" s="9" t="n"/>
      <c r="P23" s="9" t="n"/>
    </row>
    <row r="24">
      <c r="A24" s="8" t="n"/>
      <c r="B24" s="9" t="n"/>
      <c r="C24" s="9" t="n"/>
      <c r="D24" s="10" t="n"/>
      <c r="E24" s="10" t="n"/>
      <c r="F24" s="10" t="n"/>
      <c r="G24" s="9" t="n"/>
      <c r="H24" s="11" t="n"/>
      <c r="I24" s="12" t="n"/>
      <c r="J24" s="13">
        <f>IF(OR(D24="",E24="",G24=""),"",ABS(D24-E24)*G24)</f>
        <v/>
      </c>
      <c r="K24" s="10" t="n"/>
      <c r="L24" s="13">
        <f>IF(OR(D24="",K24="",G24=""),"",IF(LOWER(C24)="short",(D24-K24)*G24,(K24-D24)*G24))</f>
        <v/>
      </c>
      <c r="M24" s="14">
        <f>IF(OR(L24="",J24="",J24=0),"",L24/J24)</f>
        <v/>
      </c>
      <c r="N24" s="9" t="n"/>
      <c r="O24" s="9" t="n"/>
      <c r="P24" s="9" t="n"/>
    </row>
    <row r="25">
      <c r="A25" s="8" t="n"/>
      <c r="B25" s="9" t="n"/>
      <c r="C25" s="9" t="n"/>
      <c r="D25" s="10" t="n"/>
      <c r="E25" s="10" t="n"/>
      <c r="F25" s="10" t="n"/>
      <c r="G25" s="9" t="n"/>
      <c r="H25" s="11" t="n"/>
      <c r="I25" s="12" t="n"/>
      <c r="J25" s="13">
        <f>IF(OR(D25="",E25="",G25=""),"",ABS(D25-E25)*G25)</f>
        <v/>
      </c>
      <c r="K25" s="10" t="n"/>
      <c r="L25" s="13">
        <f>IF(OR(D25="",K25="",G25=""),"",IF(LOWER(C25)="short",(D25-K25)*G25,(K25-D25)*G25))</f>
        <v/>
      </c>
      <c r="M25" s="14">
        <f>IF(OR(L25="",J25="",J25=0),"",L25/J25)</f>
        <v/>
      </c>
      <c r="N25" s="9" t="n"/>
      <c r="O25" s="9" t="n"/>
      <c r="P25" s="9" t="n"/>
    </row>
    <row r="26">
      <c r="A26" s="8" t="n"/>
      <c r="B26" s="9" t="n"/>
      <c r="C26" s="9" t="n"/>
      <c r="D26" s="10" t="n"/>
      <c r="E26" s="10" t="n"/>
      <c r="F26" s="10" t="n"/>
      <c r="G26" s="9" t="n"/>
      <c r="H26" s="11" t="n"/>
      <c r="I26" s="12" t="n"/>
      <c r="J26" s="13">
        <f>IF(OR(D26="",E26="",G26=""),"",ABS(D26-E26)*G26)</f>
        <v/>
      </c>
      <c r="K26" s="10" t="n"/>
      <c r="L26" s="13">
        <f>IF(OR(D26="",K26="",G26=""),"",IF(LOWER(C26)="short",(D26-K26)*G26,(K26-D26)*G26))</f>
        <v/>
      </c>
      <c r="M26" s="14">
        <f>IF(OR(L26="",J26="",J26=0),"",L26/J26)</f>
        <v/>
      </c>
      <c r="N26" s="9" t="n"/>
      <c r="O26" s="9" t="n"/>
      <c r="P26" s="9" t="n"/>
    </row>
    <row r="27">
      <c r="A27" s="8" t="n"/>
      <c r="B27" s="9" t="n"/>
      <c r="C27" s="9" t="n"/>
      <c r="D27" s="10" t="n"/>
      <c r="E27" s="10" t="n"/>
      <c r="F27" s="10" t="n"/>
      <c r="G27" s="9" t="n"/>
      <c r="H27" s="11" t="n"/>
      <c r="I27" s="12" t="n"/>
      <c r="J27" s="13">
        <f>IF(OR(D27="",E27="",G27=""),"",ABS(D27-E27)*G27)</f>
        <v/>
      </c>
      <c r="K27" s="10" t="n"/>
      <c r="L27" s="13">
        <f>IF(OR(D27="",K27="",G27=""),"",IF(LOWER(C27)="short",(D27-K27)*G27,(K27-D27)*G27))</f>
        <v/>
      </c>
      <c r="M27" s="14">
        <f>IF(OR(L27="",J27="",J27=0),"",L27/J27)</f>
        <v/>
      </c>
      <c r="N27" s="9" t="n"/>
      <c r="O27" s="9" t="n"/>
      <c r="P27" s="9" t="n"/>
    </row>
    <row r="28">
      <c r="A28" s="8" t="n"/>
      <c r="B28" s="9" t="n"/>
      <c r="C28" s="9" t="n"/>
      <c r="D28" s="10" t="n"/>
      <c r="E28" s="10" t="n"/>
      <c r="F28" s="10" t="n"/>
      <c r="G28" s="9" t="n"/>
      <c r="H28" s="11" t="n"/>
      <c r="I28" s="12" t="n"/>
      <c r="J28" s="13">
        <f>IF(OR(D28="",E28="",G28=""),"",ABS(D28-E28)*G28)</f>
        <v/>
      </c>
      <c r="K28" s="10" t="n"/>
      <c r="L28" s="13">
        <f>IF(OR(D28="",K28="",G28=""),"",IF(LOWER(C28)="short",(D28-K28)*G28,(K28-D28)*G28))</f>
        <v/>
      </c>
      <c r="M28" s="14">
        <f>IF(OR(L28="",J28="",J28=0),"",L28/J28)</f>
        <v/>
      </c>
      <c r="N28" s="9" t="n"/>
      <c r="O28" s="9" t="n"/>
      <c r="P28" s="9" t="n"/>
    </row>
    <row r="29">
      <c r="A29" s="8" t="n"/>
      <c r="B29" s="9" t="n"/>
      <c r="C29" s="9" t="n"/>
      <c r="D29" s="10" t="n"/>
      <c r="E29" s="10" t="n"/>
      <c r="F29" s="10" t="n"/>
      <c r="G29" s="9" t="n"/>
      <c r="H29" s="11" t="n"/>
      <c r="I29" s="12" t="n"/>
      <c r="J29" s="13">
        <f>IF(OR(D29="",E29="",G29=""),"",ABS(D29-E29)*G29)</f>
        <v/>
      </c>
      <c r="K29" s="10" t="n"/>
      <c r="L29" s="13">
        <f>IF(OR(D29="",K29="",G29=""),"",IF(LOWER(C29)="short",(D29-K29)*G29,(K29-D29)*G29))</f>
        <v/>
      </c>
      <c r="M29" s="14">
        <f>IF(OR(L29="",J29="",J29=0),"",L29/J29)</f>
        <v/>
      </c>
      <c r="N29" s="9" t="n"/>
      <c r="O29" s="9" t="n"/>
      <c r="P29" s="9" t="n"/>
    </row>
    <row r="30">
      <c r="A30" s="8" t="n"/>
      <c r="B30" s="9" t="n"/>
      <c r="C30" s="9" t="n"/>
      <c r="D30" s="10" t="n"/>
      <c r="E30" s="10" t="n"/>
      <c r="F30" s="10" t="n"/>
      <c r="G30" s="9" t="n"/>
      <c r="H30" s="11" t="n"/>
      <c r="I30" s="12" t="n"/>
      <c r="J30" s="13">
        <f>IF(OR(D30="",E30="",G30=""),"",ABS(D30-E30)*G30)</f>
        <v/>
      </c>
      <c r="K30" s="10" t="n"/>
      <c r="L30" s="13">
        <f>IF(OR(D30="",K30="",G30=""),"",IF(LOWER(C30)="short",(D30-K30)*G30,(K30-D30)*G30))</f>
        <v/>
      </c>
      <c r="M30" s="14">
        <f>IF(OR(L30="",J30="",J30=0),"",L30/J30)</f>
        <v/>
      </c>
      <c r="N30" s="9" t="n"/>
      <c r="O30" s="9" t="n"/>
      <c r="P30" s="9" t="n"/>
    </row>
    <row r="31">
      <c r="A31" s="8" t="n"/>
      <c r="B31" s="9" t="n"/>
      <c r="C31" s="9" t="n"/>
      <c r="D31" s="10" t="n"/>
      <c r="E31" s="10" t="n"/>
      <c r="F31" s="10" t="n"/>
      <c r="G31" s="9" t="n"/>
      <c r="H31" s="11" t="n"/>
      <c r="I31" s="12" t="n"/>
      <c r="J31" s="13">
        <f>IF(OR(D31="",E31="",G31=""),"",ABS(D31-E31)*G31)</f>
        <v/>
      </c>
      <c r="K31" s="10" t="n"/>
      <c r="L31" s="13">
        <f>IF(OR(D31="",K31="",G31=""),"",IF(LOWER(C31)="short",(D31-K31)*G31,(K31-D31)*G31))</f>
        <v/>
      </c>
      <c r="M31" s="14">
        <f>IF(OR(L31="",J31="",J31=0),"",L31/J31)</f>
        <v/>
      </c>
      <c r="N31" s="9" t="n"/>
      <c r="O31" s="9" t="n"/>
      <c r="P31" s="9" t="n"/>
    </row>
    <row r="32">
      <c r="A32" s="8" t="n"/>
      <c r="B32" s="9" t="n"/>
      <c r="C32" s="9" t="n"/>
      <c r="D32" s="10" t="n"/>
      <c r="E32" s="10" t="n"/>
      <c r="F32" s="10" t="n"/>
      <c r="G32" s="9" t="n"/>
      <c r="H32" s="11" t="n"/>
      <c r="I32" s="12" t="n"/>
      <c r="J32" s="13">
        <f>IF(OR(D32="",E32="",G32=""),"",ABS(D32-E32)*G32)</f>
        <v/>
      </c>
      <c r="K32" s="10" t="n"/>
      <c r="L32" s="13">
        <f>IF(OR(D32="",K32="",G32=""),"",IF(LOWER(C32)="short",(D32-K32)*G32,(K32-D32)*G32))</f>
        <v/>
      </c>
      <c r="M32" s="14">
        <f>IF(OR(L32="",J32="",J32=0),"",L32/J32)</f>
        <v/>
      </c>
      <c r="N32" s="9" t="n"/>
      <c r="O32" s="9" t="n"/>
      <c r="P32" s="9" t="n"/>
    </row>
    <row r="33">
      <c r="A33" s="8" t="n"/>
      <c r="B33" s="9" t="n"/>
      <c r="C33" s="9" t="n"/>
      <c r="D33" s="10" t="n"/>
      <c r="E33" s="10" t="n"/>
      <c r="F33" s="10" t="n"/>
      <c r="G33" s="9" t="n"/>
      <c r="H33" s="11" t="n"/>
      <c r="I33" s="12" t="n"/>
      <c r="J33" s="13">
        <f>IF(OR(D33="",E33="",G33=""),"",ABS(D33-E33)*G33)</f>
        <v/>
      </c>
      <c r="K33" s="10" t="n"/>
      <c r="L33" s="13">
        <f>IF(OR(D33="",K33="",G33=""),"",IF(LOWER(C33)="short",(D33-K33)*G33,(K33-D33)*G33))</f>
        <v/>
      </c>
      <c r="M33" s="14">
        <f>IF(OR(L33="",J33="",J33=0),"",L33/J33)</f>
        <v/>
      </c>
      <c r="N33" s="9" t="n"/>
      <c r="O33" s="9" t="n"/>
      <c r="P33" s="9" t="n"/>
    </row>
    <row r="34">
      <c r="A34" s="8" t="n"/>
      <c r="B34" s="9" t="n"/>
      <c r="C34" s="9" t="n"/>
      <c r="D34" s="10" t="n"/>
      <c r="E34" s="10" t="n"/>
      <c r="F34" s="10" t="n"/>
      <c r="G34" s="9" t="n"/>
      <c r="H34" s="11" t="n"/>
      <c r="I34" s="12" t="n"/>
      <c r="J34" s="13">
        <f>IF(OR(D34="",E34="",G34=""),"",ABS(D34-E34)*G34)</f>
        <v/>
      </c>
      <c r="K34" s="10" t="n"/>
      <c r="L34" s="13">
        <f>IF(OR(D34="",K34="",G34=""),"",IF(LOWER(C34)="short",(D34-K34)*G34,(K34-D34)*G34))</f>
        <v/>
      </c>
      <c r="M34" s="14">
        <f>IF(OR(L34="",J34="",J34=0),"",L34/J34)</f>
        <v/>
      </c>
      <c r="N34" s="9" t="n"/>
      <c r="O34" s="9" t="n"/>
      <c r="P34" s="9" t="n"/>
    </row>
    <row r="35">
      <c r="A35" s="8" t="n"/>
      <c r="B35" s="9" t="n"/>
      <c r="C35" s="9" t="n"/>
      <c r="D35" s="10" t="n"/>
      <c r="E35" s="10" t="n"/>
      <c r="F35" s="10" t="n"/>
      <c r="G35" s="9" t="n"/>
      <c r="H35" s="11" t="n"/>
      <c r="I35" s="12" t="n"/>
      <c r="J35" s="13">
        <f>IF(OR(D35="",E35="",G35=""),"",ABS(D35-E35)*G35)</f>
        <v/>
      </c>
      <c r="K35" s="10" t="n"/>
      <c r="L35" s="13">
        <f>IF(OR(D35="",K35="",G35=""),"",IF(LOWER(C35)="short",(D35-K35)*G35,(K35-D35)*G35))</f>
        <v/>
      </c>
      <c r="M35" s="14">
        <f>IF(OR(L35="",J35="",J35=0),"",L35/J35)</f>
        <v/>
      </c>
      <c r="N35" s="9" t="n"/>
      <c r="O35" s="9" t="n"/>
      <c r="P35" s="9" t="n"/>
    </row>
    <row r="36">
      <c r="A36" s="8" t="n"/>
      <c r="B36" s="9" t="n"/>
      <c r="C36" s="9" t="n"/>
      <c r="D36" s="10" t="n"/>
      <c r="E36" s="10" t="n"/>
      <c r="F36" s="10" t="n"/>
      <c r="G36" s="9" t="n"/>
      <c r="H36" s="11" t="n"/>
      <c r="I36" s="12" t="n"/>
      <c r="J36" s="13">
        <f>IF(OR(D36="",E36="",G36=""),"",ABS(D36-E36)*G36)</f>
        <v/>
      </c>
      <c r="K36" s="10" t="n"/>
      <c r="L36" s="13">
        <f>IF(OR(D36="",K36="",G36=""),"",IF(LOWER(C36)="short",(D36-K36)*G36,(K36-D36)*G36))</f>
        <v/>
      </c>
      <c r="M36" s="14">
        <f>IF(OR(L36="",J36="",J36=0),"",L36/J36)</f>
        <v/>
      </c>
      <c r="N36" s="9" t="n"/>
      <c r="O36" s="9" t="n"/>
      <c r="P36" s="9" t="n"/>
    </row>
    <row r="37">
      <c r="A37" s="8" t="n"/>
      <c r="B37" s="9" t="n"/>
      <c r="C37" s="9" t="n"/>
      <c r="D37" s="10" t="n"/>
      <c r="E37" s="10" t="n"/>
      <c r="F37" s="10" t="n"/>
      <c r="G37" s="9" t="n"/>
      <c r="H37" s="11" t="n"/>
      <c r="I37" s="12" t="n"/>
      <c r="J37" s="13">
        <f>IF(OR(D37="",E37="",G37=""),"",ABS(D37-E37)*G37)</f>
        <v/>
      </c>
      <c r="K37" s="10" t="n"/>
      <c r="L37" s="13">
        <f>IF(OR(D37="",K37="",G37=""),"",IF(LOWER(C37)="short",(D37-K37)*G37,(K37-D37)*G37))</f>
        <v/>
      </c>
      <c r="M37" s="14">
        <f>IF(OR(L37="",J37="",J37=0),"",L37/J37)</f>
        <v/>
      </c>
      <c r="N37" s="9" t="n"/>
      <c r="O37" s="9" t="n"/>
      <c r="P37" s="9" t="n"/>
    </row>
    <row r="38">
      <c r="A38" s="8" t="n"/>
      <c r="B38" s="9" t="n"/>
      <c r="C38" s="9" t="n"/>
      <c r="D38" s="10" t="n"/>
      <c r="E38" s="10" t="n"/>
      <c r="F38" s="10" t="n"/>
      <c r="G38" s="9" t="n"/>
      <c r="H38" s="11" t="n"/>
      <c r="I38" s="12" t="n"/>
      <c r="J38" s="13">
        <f>IF(OR(D38="",E38="",G38=""),"",ABS(D38-E38)*G38)</f>
        <v/>
      </c>
      <c r="K38" s="10" t="n"/>
      <c r="L38" s="13">
        <f>IF(OR(D38="",K38="",G38=""),"",IF(LOWER(C38)="short",(D38-K38)*G38,(K38-D38)*G38))</f>
        <v/>
      </c>
      <c r="M38" s="14">
        <f>IF(OR(L38="",J38="",J38=0),"",L38/J38)</f>
        <v/>
      </c>
      <c r="N38" s="9" t="n"/>
      <c r="O38" s="9" t="n"/>
      <c r="P38" s="9" t="n"/>
    </row>
    <row r="39">
      <c r="A39" s="8" t="n"/>
      <c r="B39" s="9" t="n"/>
      <c r="C39" s="9" t="n"/>
      <c r="D39" s="10" t="n"/>
      <c r="E39" s="10" t="n"/>
      <c r="F39" s="10" t="n"/>
      <c r="G39" s="9" t="n"/>
      <c r="H39" s="11" t="n"/>
      <c r="I39" s="12" t="n"/>
      <c r="J39" s="13">
        <f>IF(OR(D39="",E39="",G39=""),"",ABS(D39-E39)*G39)</f>
        <v/>
      </c>
      <c r="K39" s="10" t="n"/>
      <c r="L39" s="13">
        <f>IF(OR(D39="",K39="",G39=""),"",IF(LOWER(C39)="short",(D39-K39)*G39,(K39-D39)*G39))</f>
        <v/>
      </c>
      <c r="M39" s="14">
        <f>IF(OR(L39="",J39="",J39=0),"",L39/J39)</f>
        <v/>
      </c>
      <c r="N39" s="9" t="n"/>
      <c r="O39" s="9" t="n"/>
      <c r="P39" s="9" t="n"/>
    </row>
    <row r="40">
      <c r="A40" s="8" t="n"/>
      <c r="B40" s="9" t="n"/>
      <c r="C40" s="9" t="n"/>
      <c r="D40" s="10" t="n"/>
      <c r="E40" s="10" t="n"/>
      <c r="F40" s="10" t="n"/>
      <c r="G40" s="9" t="n"/>
      <c r="H40" s="11" t="n"/>
      <c r="I40" s="12" t="n"/>
      <c r="J40" s="13">
        <f>IF(OR(D40="",E40="",G40=""),"",ABS(D40-E40)*G40)</f>
        <v/>
      </c>
      <c r="K40" s="10" t="n"/>
      <c r="L40" s="13">
        <f>IF(OR(D40="",K40="",G40=""),"",IF(LOWER(C40)="short",(D40-K40)*G40,(K40-D40)*G40))</f>
        <v/>
      </c>
      <c r="M40" s="14">
        <f>IF(OR(L40="",J40="",J40=0),"",L40/J40)</f>
        <v/>
      </c>
      <c r="N40" s="9" t="n"/>
      <c r="O40" s="9" t="n"/>
      <c r="P40" s="9" t="n"/>
    </row>
    <row r="41">
      <c r="A41" s="8" t="n"/>
      <c r="B41" s="9" t="n"/>
      <c r="C41" s="9" t="n"/>
      <c r="D41" s="10" t="n"/>
      <c r="E41" s="10" t="n"/>
      <c r="F41" s="10" t="n"/>
      <c r="G41" s="9" t="n"/>
      <c r="H41" s="11" t="n"/>
      <c r="I41" s="12" t="n"/>
      <c r="J41" s="13">
        <f>IF(OR(D41="",E41="",G41=""),"",ABS(D41-E41)*G41)</f>
        <v/>
      </c>
      <c r="K41" s="10" t="n"/>
      <c r="L41" s="13">
        <f>IF(OR(D41="",K41="",G41=""),"",IF(LOWER(C41)="short",(D41-K41)*G41,(K41-D41)*G41))</f>
        <v/>
      </c>
      <c r="M41" s="14">
        <f>IF(OR(L41="",J41="",J41=0),"",L41/J41)</f>
        <v/>
      </c>
      <c r="N41" s="9" t="n"/>
      <c r="O41" s="9" t="n"/>
      <c r="P41" s="9" t="n"/>
    </row>
    <row r="42">
      <c r="A42" s="8" t="n"/>
      <c r="B42" s="9" t="n"/>
      <c r="C42" s="9" t="n"/>
      <c r="D42" s="10" t="n"/>
      <c r="E42" s="10" t="n"/>
      <c r="F42" s="10" t="n"/>
      <c r="G42" s="9" t="n"/>
      <c r="H42" s="11" t="n"/>
      <c r="I42" s="12" t="n"/>
      <c r="J42" s="13">
        <f>IF(OR(D42="",E42="",G42=""),"",ABS(D42-E42)*G42)</f>
        <v/>
      </c>
      <c r="K42" s="10" t="n"/>
      <c r="L42" s="13">
        <f>IF(OR(D42="",K42="",G42=""),"",IF(LOWER(C42)="short",(D42-K42)*G42,(K42-D42)*G42))</f>
        <v/>
      </c>
      <c r="M42" s="14">
        <f>IF(OR(L42="",J42="",J42=0),"",L42/J42)</f>
        <v/>
      </c>
      <c r="N42" s="9" t="n"/>
      <c r="O42" s="9" t="n"/>
      <c r="P42" s="9" t="n"/>
    </row>
    <row r="43">
      <c r="A43" s="8" t="n"/>
      <c r="B43" s="9" t="n"/>
      <c r="C43" s="9" t="n"/>
      <c r="D43" s="10" t="n"/>
      <c r="E43" s="10" t="n"/>
      <c r="F43" s="10" t="n"/>
      <c r="G43" s="9" t="n"/>
      <c r="H43" s="11" t="n"/>
      <c r="I43" s="12" t="n"/>
      <c r="J43" s="13">
        <f>IF(OR(D43="",E43="",G43=""),"",ABS(D43-E43)*G43)</f>
        <v/>
      </c>
      <c r="K43" s="10" t="n"/>
      <c r="L43" s="13">
        <f>IF(OR(D43="",K43="",G43=""),"",IF(LOWER(C43)="short",(D43-K43)*G43,(K43-D43)*G43))</f>
        <v/>
      </c>
      <c r="M43" s="14">
        <f>IF(OR(L43="",J43="",J43=0),"",L43/J43)</f>
        <v/>
      </c>
      <c r="N43" s="9" t="n"/>
      <c r="O43" s="9" t="n"/>
      <c r="P43" s="9" t="n"/>
    </row>
    <row r="44">
      <c r="A44" s="8" t="n"/>
      <c r="B44" s="9" t="n"/>
      <c r="C44" s="9" t="n"/>
      <c r="D44" s="10" t="n"/>
      <c r="E44" s="10" t="n"/>
      <c r="F44" s="10" t="n"/>
      <c r="G44" s="9" t="n"/>
      <c r="H44" s="11" t="n"/>
      <c r="I44" s="12" t="n"/>
      <c r="J44" s="13">
        <f>IF(OR(D44="",E44="",G44=""),"",ABS(D44-E44)*G44)</f>
        <v/>
      </c>
      <c r="K44" s="10" t="n"/>
      <c r="L44" s="13">
        <f>IF(OR(D44="",K44="",G44=""),"",IF(LOWER(C44)="short",(D44-K44)*G44,(K44-D44)*G44))</f>
        <v/>
      </c>
      <c r="M44" s="14">
        <f>IF(OR(L44="",J44="",J44=0),"",L44/J44)</f>
        <v/>
      </c>
      <c r="N44" s="9" t="n"/>
      <c r="O44" s="9" t="n"/>
      <c r="P44" s="9" t="n"/>
    </row>
    <row r="45">
      <c r="A45" s="8" t="n"/>
      <c r="B45" s="9" t="n"/>
      <c r="C45" s="9" t="n"/>
      <c r="D45" s="10" t="n"/>
      <c r="E45" s="10" t="n"/>
      <c r="F45" s="10" t="n"/>
      <c r="G45" s="9" t="n"/>
      <c r="H45" s="11" t="n"/>
      <c r="I45" s="12" t="n"/>
      <c r="J45" s="13">
        <f>IF(OR(D45="",E45="",G45=""),"",ABS(D45-E45)*G45)</f>
        <v/>
      </c>
      <c r="K45" s="10" t="n"/>
      <c r="L45" s="13">
        <f>IF(OR(D45="",K45="",G45=""),"",IF(LOWER(C45)="short",(D45-K45)*G45,(K45-D45)*G45))</f>
        <v/>
      </c>
      <c r="M45" s="14">
        <f>IF(OR(L45="",J45="",J45=0),"",L45/J45)</f>
        <v/>
      </c>
      <c r="N45" s="9" t="n"/>
      <c r="O45" s="9" t="n"/>
      <c r="P45" s="9" t="n"/>
    </row>
    <row r="46">
      <c r="A46" s="8" t="n"/>
      <c r="B46" s="9" t="n"/>
      <c r="C46" s="9" t="n"/>
      <c r="D46" s="10" t="n"/>
      <c r="E46" s="10" t="n"/>
      <c r="F46" s="10" t="n"/>
      <c r="G46" s="9" t="n"/>
      <c r="H46" s="11" t="n"/>
      <c r="I46" s="12" t="n"/>
      <c r="J46" s="13">
        <f>IF(OR(D46="",E46="",G46=""),"",ABS(D46-E46)*G46)</f>
        <v/>
      </c>
      <c r="K46" s="10" t="n"/>
      <c r="L46" s="13">
        <f>IF(OR(D46="",K46="",G46=""),"",IF(LOWER(C46)="short",(D46-K46)*G46,(K46-D46)*G46))</f>
        <v/>
      </c>
      <c r="M46" s="14">
        <f>IF(OR(L46="",J46="",J46=0),"",L46/J46)</f>
        <v/>
      </c>
      <c r="N46" s="9" t="n"/>
      <c r="O46" s="9" t="n"/>
      <c r="P46" s="9" t="n"/>
    </row>
    <row r="47">
      <c r="A47" s="8" t="n"/>
      <c r="B47" s="9" t="n"/>
      <c r="C47" s="9" t="n"/>
      <c r="D47" s="10" t="n"/>
      <c r="E47" s="10" t="n"/>
      <c r="F47" s="10" t="n"/>
      <c r="G47" s="9" t="n"/>
      <c r="H47" s="11" t="n"/>
      <c r="I47" s="12" t="n"/>
      <c r="J47" s="13">
        <f>IF(OR(D47="",E47="",G47=""),"",ABS(D47-E47)*G47)</f>
        <v/>
      </c>
      <c r="K47" s="10" t="n"/>
      <c r="L47" s="13">
        <f>IF(OR(D47="",K47="",G47=""),"",IF(LOWER(C47)="short",(D47-K47)*G47,(K47-D47)*G47))</f>
        <v/>
      </c>
      <c r="M47" s="14">
        <f>IF(OR(L47="",J47="",J47=0),"",L47/J47)</f>
        <v/>
      </c>
      <c r="N47" s="9" t="n"/>
      <c r="O47" s="9" t="n"/>
      <c r="P47" s="9" t="n"/>
    </row>
    <row r="48">
      <c r="A48" s="8" t="n"/>
      <c r="B48" s="9" t="n"/>
      <c r="C48" s="9" t="n"/>
      <c r="D48" s="10" t="n"/>
      <c r="E48" s="10" t="n"/>
      <c r="F48" s="10" t="n"/>
      <c r="G48" s="9" t="n"/>
      <c r="H48" s="11" t="n"/>
      <c r="I48" s="12" t="n"/>
      <c r="J48" s="13">
        <f>IF(OR(D48="",E48="",G48=""),"",ABS(D48-E48)*G48)</f>
        <v/>
      </c>
      <c r="K48" s="10" t="n"/>
      <c r="L48" s="13">
        <f>IF(OR(D48="",K48="",G48=""),"",IF(LOWER(C48)="short",(D48-K48)*G48,(K48-D48)*G48))</f>
        <v/>
      </c>
      <c r="M48" s="14">
        <f>IF(OR(L48="",J48="",J48=0),"",L48/J48)</f>
        <v/>
      </c>
      <c r="N48" s="9" t="n"/>
      <c r="O48" s="9" t="n"/>
      <c r="P48" s="9" t="n"/>
    </row>
    <row r="49">
      <c r="A49" s="8" t="n"/>
      <c r="B49" s="9" t="n"/>
      <c r="C49" s="9" t="n"/>
      <c r="D49" s="10" t="n"/>
      <c r="E49" s="10" t="n"/>
      <c r="F49" s="10" t="n"/>
      <c r="G49" s="9" t="n"/>
      <c r="H49" s="11" t="n"/>
      <c r="I49" s="12" t="n"/>
      <c r="J49" s="13">
        <f>IF(OR(D49="",E49="",G49=""),"",ABS(D49-E49)*G49)</f>
        <v/>
      </c>
      <c r="K49" s="10" t="n"/>
      <c r="L49" s="13">
        <f>IF(OR(D49="",K49="",G49=""),"",IF(LOWER(C49)="short",(D49-K49)*G49,(K49-D49)*G49))</f>
        <v/>
      </c>
      <c r="M49" s="14">
        <f>IF(OR(L49="",J49="",J49=0),"",L49/J49)</f>
        <v/>
      </c>
      <c r="N49" s="9" t="n"/>
      <c r="O49" s="9" t="n"/>
      <c r="P49" s="9" t="n"/>
    </row>
    <row r="50">
      <c r="A50" s="8" t="n"/>
      <c r="B50" s="9" t="n"/>
      <c r="C50" s="9" t="n"/>
      <c r="D50" s="10" t="n"/>
      <c r="E50" s="10" t="n"/>
      <c r="F50" s="10" t="n"/>
      <c r="G50" s="9" t="n"/>
      <c r="H50" s="11" t="n"/>
      <c r="I50" s="12" t="n"/>
      <c r="J50" s="13">
        <f>IF(OR(D50="",E50="",G50=""),"",ABS(D50-E50)*G50)</f>
        <v/>
      </c>
      <c r="K50" s="10" t="n"/>
      <c r="L50" s="13">
        <f>IF(OR(D50="",K50="",G50=""),"",IF(LOWER(C50)="short",(D50-K50)*G50,(K50-D50)*G50))</f>
        <v/>
      </c>
      <c r="M50" s="14">
        <f>IF(OR(L50="",J50="",J50=0),"",L50/J50)</f>
        <v/>
      </c>
      <c r="N50" s="9" t="n"/>
      <c r="O50" s="9" t="n"/>
      <c r="P50" s="9" t="n"/>
    </row>
    <row r="51">
      <c r="A51" s="8" t="n"/>
      <c r="B51" s="9" t="n"/>
      <c r="C51" s="9" t="n"/>
      <c r="D51" s="10" t="n"/>
      <c r="E51" s="10" t="n"/>
      <c r="F51" s="10" t="n"/>
      <c r="G51" s="9" t="n"/>
      <c r="H51" s="11" t="n"/>
      <c r="I51" s="12" t="n"/>
      <c r="J51" s="13">
        <f>IF(OR(D51="",E51="",G51=""),"",ABS(D51-E51)*G51)</f>
        <v/>
      </c>
      <c r="K51" s="10" t="n"/>
      <c r="L51" s="13">
        <f>IF(OR(D51="",K51="",G51=""),"",IF(LOWER(C51)="short",(D51-K51)*G51,(K51-D51)*G51))</f>
        <v/>
      </c>
      <c r="M51" s="14">
        <f>IF(OR(L51="",J51="",J51=0),"",L51/J51)</f>
        <v/>
      </c>
      <c r="N51" s="9" t="n"/>
      <c r="O51" s="9" t="n"/>
      <c r="P51" s="9" t="n"/>
    </row>
    <row r="52">
      <c r="A52" s="8" t="n"/>
      <c r="B52" s="9" t="n"/>
      <c r="C52" s="9" t="n"/>
      <c r="D52" s="10" t="n"/>
      <c r="E52" s="10" t="n"/>
      <c r="F52" s="10" t="n"/>
      <c r="G52" s="9" t="n"/>
      <c r="H52" s="11" t="n"/>
      <c r="I52" s="12" t="n"/>
      <c r="J52" s="13">
        <f>IF(OR(D52="",E52="",G52=""),"",ABS(D52-E52)*G52)</f>
        <v/>
      </c>
      <c r="K52" s="10" t="n"/>
      <c r="L52" s="13">
        <f>IF(OR(D52="",K52="",G52=""),"",IF(LOWER(C52)="short",(D52-K52)*G52,(K52-D52)*G52))</f>
        <v/>
      </c>
      <c r="M52" s="14">
        <f>IF(OR(L52="",J52="",J52=0),"",L52/J52)</f>
        <v/>
      </c>
      <c r="N52" s="9" t="n"/>
      <c r="O52" s="9" t="n"/>
      <c r="P52" s="9" t="n"/>
    </row>
    <row r="53">
      <c r="A53" s="8" t="n"/>
      <c r="B53" s="9" t="n"/>
      <c r="C53" s="9" t="n"/>
      <c r="D53" s="10" t="n"/>
      <c r="E53" s="10" t="n"/>
      <c r="F53" s="10" t="n"/>
      <c r="G53" s="9" t="n"/>
      <c r="H53" s="11" t="n"/>
      <c r="I53" s="12" t="n"/>
      <c r="J53" s="13">
        <f>IF(OR(D53="",E53="",G53=""),"",ABS(D53-E53)*G53)</f>
        <v/>
      </c>
      <c r="K53" s="10" t="n"/>
      <c r="L53" s="13">
        <f>IF(OR(D53="",K53="",G53=""),"",IF(LOWER(C53)="short",(D53-K53)*G53,(K53-D53)*G53))</f>
        <v/>
      </c>
      <c r="M53" s="14">
        <f>IF(OR(L53="",J53="",J53=0),"",L53/J53)</f>
        <v/>
      </c>
      <c r="N53" s="9" t="n"/>
      <c r="O53" s="9" t="n"/>
      <c r="P53" s="9" t="n"/>
    </row>
    <row r="54">
      <c r="A54" s="8" t="n"/>
      <c r="B54" s="9" t="n"/>
      <c r="C54" s="9" t="n"/>
      <c r="D54" s="10" t="n"/>
      <c r="E54" s="10" t="n"/>
      <c r="F54" s="10" t="n"/>
      <c r="G54" s="9" t="n"/>
      <c r="H54" s="11" t="n"/>
      <c r="I54" s="12" t="n"/>
      <c r="J54" s="13">
        <f>IF(OR(D54="",E54="",G54=""),"",ABS(D54-E54)*G54)</f>
        <v/>
      </c>
      <c r="K54" s="10" t="n"/>
      <c r="L54" s="13">
        <f>IF(OR(D54="",K54="",G54=""),"",IF(LOWER(C54)="short",(D54-K54)*G54,(K54-D54)*G54))</f>
        <v/>
      </c>
      <c r="M54" s="14">
        <f>IF(OR(L54="",J54="",J54=0),"",L54/J54)</f>
        <v/>
      </c>
      <c r="N54" s="9" t="n"/>
      <c r="O54" s="9" t="n"/>
      <c r="P54" s="9" t="n"/>
    </row>
    <row r="55">
      <c r="A55" s="8" t="n"/>
      <c r="B55" s="9" t="n"/>
      <c r="C55" s="9" t="n"/>
      <c r="D55" s="10" t="n"/>
      <c r="E55" s="10" t="n"/>
      <c r="F55" s="10" t="n"/>
      <c r="G55" s="9" t="n"/>
      <c r="H55" s="11" t="n"/>
      <c r="I55" s="12" t="n"/>
      <c r="J55" s="13">
        <f>IF(OR(D55="",E55="",G55=""),"",ABS(D55-E55)*G55)</f>
        <v/>
      </c>
      <c r="K55" s="10" t="n"/>
      <c r="L55" s="13">
        <f>IF(OR(D55="",K55="",G55=""),"",IF(LOWER(C55)="short",(D55-K55)*G55,(K55-D55)*G55))</f>
        <v/>
      </c>
      <c r="M55" s="14">
        <f>IF(OR(L55="",J55="",J55=0),"",L55/J55)</f>
        <v/>
      </c>
      <c r="N55" s="9" t="n"/>
      <c r="O55" s="9" t="n"/>
      <c r="P55" s="9" t="n"/>
    </row>
    <row r="56">
      <c r="A56" s="8" t="n"/>
      <c r="B56" s="9" t="n"/>
      <c r="C56" s="9" t="n"/>
      <c r="D56" s="10" t="n"/>
      <c r="E56" s="10" t="n"/>
      <c r="F56" s="10" t="n"/>
      <c r="G56" s="9" t="n"/>
      <c r="H56" s="11" t="n"/>
      <c r="I56" s="12" t="n"/>
      <c r="J56" s="13">
        <f>IF(OR(D56="",E56="",G56=""),"",ABS(D56-E56)*G56)</f>
        <v/>
      </c>
      <c r="K56" s="10" t="n"/>
      <c r="L56" s="13">
        <f>IF(OR(D56="",K56="",G56=""),"",IF(LOWER(C56)="short",(D56-K56)*G56,(K56-D56)*G56))</f>
        <v/>
      </c>
      <c r="M56" s="14">
        <f>IF(OR(L56="",J56="",J56=0),"",L56/J56)</f>
        <v/>
      </c>
      <c r="N56" s="9" t="n"/>
      <c r="O56" s="9" t="n"/>
      <c r="P56" s="9" t="n"/>
    </row>
    <row r="57">
      <c r="A57" s="8" t="n"/>
      <c r="B57" s="9" t="n"/>
      <c r="C57" s="9" t="n"/>
      <c r="D57" s="10" t="n"/>
      <c r="E57" s="10" t="n"/>
      <c r="F57" s="10" t="n"/>
      <c r="G57" s="9" t="n"/>
      <c r="H57" s="11" t="n"/>
      <c r="I57" s="12" t="n"/>
      <c r="J57" s="13">
        <f>IF(OR(D57="",E57="",G57=""),"",ABS(D57-E57)*G57)</f>
        <v/>
      </c>
      <c r="K57" s="10" t="n"/>
      <c r="L57" s="13">
        <f>IF(OR(D57="",K57="",G57=""),"",IF(LOWER(C57)="short",(D57-K57)*G57,(K57-D57)*G57))</f>
        <v/>
      </c>
      <c r="M57" s="14">
        <f>IF(OR(L57="",J57="",J57=0),"",L57/J57)</f>
        <v/>
      </c>
      <c r="N57" s="9" t="n"/>
      <c r="O57" s="9" t="n"/>
      <c r="P57" s="9" t="n"/>
    </row>
    <row r="58">
      <c r="A58" s="8" t="n"/>
      <c r="B58" s="9" t="n"/>
      <c r="C58" s="9" t="n"/>
      <c r="D58" s="10" t="n"/>
      <c r="E58" s="10" t="n"/>
      <c r="F58" s="10" t="n"/>
      <c r="G58" s="9" t="n"/>
      <c r="H58" s="11" t="n"/>
      <c r="I58" s="12" t="n"/>
      <c r="J58" s="13">
        <f>IF(OR(D58="",E58="",G58=""),"",ABS(D58-E58)*G58)</f>
        <v/>
      </c>
      <c r="K58" s="10" t="n"/>
      <c r="L58" s="13">
        <f>IF(OR(D58="",K58="",G58=""),"",IF(LOWER(C58)="short",(D58-K58)*G58,(K58-D58)*G58))</f>
        <v/>
      </c>
      <c r="M58" s="14">
        <f>IF(OR(L58="",J58="",J58=0),"",L58/J58)</f>
        <v/>
      </c>
      <c r="N58" s="9" t="n"/>
      <c r="O58" s="9" t="n"/>
      <c r="P58" s="9" t="n"/>
    </row>
    <row r="59">
      <c r="A59" s="8" t="n"/>
      <c r="B59" s="9" t="n"/>
      <c r="C59" s="9" t="n"/>
      <c r="D59" s="10" t="n"/>
      <c r="E59" s="10" t="n"/>
      <c r="F59" s="10" t="n"/>
      <c r="G59" s="9" t="n"/>
      <c r="H59" s="11" t="n"/>
      <c r="I59" s="12" t="n"/>
      <c r="J59" s="13">
        <f>IF(OR(D59="",E59="",G59=""),"",ABS(D59-E59)*G59)</f>
        <v/>
      </c>
      <c r="K59" s="10" t="n"/>
      <c r="L59" s="13">
        <f>IF(OR(D59="",K59="",G59=""),"",IF(LOWER(C59)="short",(D59-K59)*G59,(K59-D59)*G59))</f>
        <v/>
      </c>
      <c r="M59" s="14">
        <f>IF(OR(L59="",J59="",J59=0),"",L59/J59)</f>
        <v/>
      </c>
      <c r="N59" s="9" t="n"/>
      <c r="O59" s="9" t="n"/>
      <c r="P59" s="9" t="n"/>
    </row>
    <row r="60">
      <c r="A60" s="8" t="n"/>
      <c r="B60" s="9" t="n"/>
      <c r="C60" s="9" t="n"/>
      <c r="D60" s="10" t="n"/>
      <c r="E60" s="10" t="n"/>
      <c r="F60" s="10" t="n"/>
      <c r="G60" s="9" t="n"/>
      <c r="H60" s="11" t="n"/>
      <c r="I60" s="12" t="n"/>
      <c r="J60" s="13">
        <f>IF(OR(D60="",E60="",G60=""),"",ABS(D60-E60)*G60)</f>
        <v/>
      </c>
      <c r="K60" s="10" t="n"/>
      <c r="L60" s="13">
        <f>IF(OR(D60="",K60="",G60=""),"",IF(LOWER(C60)="short",(D60-K60)*G60,(K60-D60)*G60))</f>
        <v/>
      </c>
      <c r="M60" s="14">
        <f>IF(OR(L60="",J60="",J60=0),"",L60/J60)</f>
        <v/>
      </c>
      <c r="N60" s="9" t="n"/>
      <c r="O60" s="9" t="n"/>
      <c r="P60" s="9" t="n"/>
    </row>
    <row r="61">
      <c r="A61" s="8" t="n"/>
      <c r="B61" s="9" t="n"/>
      <c r="C61" s="9" t="n"/>
      <c r="D61" s="10" t="n"/>
      <c r="E61" s="10" t="n"/>
      <c r="F61" s="10" t="n"/>
      <c r="G61" s="9" t="n"/>
      <c r="H61" s="11" t="n"/>
      <c r="I61" s="12" t="n"/>
      <c r="J61" s="13">
        <f>IF(OR(D61="",E61="",G61=""),"",ABS(D61-E61)*G61)</f>
        <v/>
      </c>
      <c r="K61" s="10" t="n"/>
      <c r="L61" s="13">
        <f>IF(OR(D61="",K61="",G61=""),"",IF(LOWER(C61)="short",(D61-K61)*G61,(K61-D61)*G61))</f>
        <v/>
      </c>
      <c r="M61" s="14">
        <f>IF(OR(L61="",J61="",J61=0),"",L61/J61)</f>
        <v/>
      </c>
      <c r="N61" s="9" t="n"/>
      <c r="O61" s="9" t="n"/>
      <c r="P61" s="9" t="n"/>
    </row>
    <row r="62">
      <c r="A62" s="8" t="n"/>
      <c r="B62" s="9" t="n"/>
      <c r="C62" s="9" t="n"/>
      <c r="D62" s="10" t="n"/>
      <c r="E62" s="10" t="n"/>
      <c r="F62" s="10" t="n"/>
      <c r="G62" s="9" t="n"/>
      <c r="H62" s="11" t="n"/>
      <c r="I62" s="12" t="n"/>
      <c r="J62" s="13">
        <f>IF(OR(D62="",E62="",G62=""),"",ABS(D62-E62)*G62)</f>
        <v/>
      </c>
      <c r="K62" s="10" t="n"/>
      <c r="L62" s="13">
        <f>IF(OR(D62="",K62="",G62=""),"",IF(LOWER(C62)="short",(D62-K62)*G62,(K62-D62)*G62))</f>
        <v/>
      </c>
      <c r="M62" s="14">
        <f>IF(OR(L62="",J62="",J62=0),"",L62/J62)</f>
        <v/>
      </c>
      <c r="N62" s="9" t="n"/>
      <c r="O62" s="9" t="n"/>
      <c r="P62" s="9" t="n"/>
    </row>
    <row r="63">
      <c r="A63" s="8" t="n"/>
      <c r="B63" s="9" t="n"/>
      <c r="C63" s="9" t="n"/>
      <c r="D63" s="10" t="n"/>
      <c r="E63" s="10" t="n"/>
      <c r="F63" s="10" t="n"/>
      <c r="G63" s="9" t="n"/>
      <c r="H63" s="11" t="n"/>
      <c r="I63" s="12" t="n"/>
      <c r="J63" s="13">
        <f>IF(OR(D63="",E63="",G63=""),"",ABS(D63-E63)*G63)</f>
        <v/>
      </c>
      <c r="K63" s="10" t="n"/>
      <c r="L63" s="13">
        <f>IF(OR(D63="",K63="",G63=""),"",IF(LOWER(C63)="short",(D63-K63)*G63,(K63-D63)*G63))</f>
        <v/>
      </c>
      <c r="M63" s="14">
        <f>IF(OR(L63="",J63="",J63=0),"",L63/J63)</f>
        <v/>
      </c>
      <c r="N63" s="9" t="n"/>
      <c r="O63" s="9" t="n"/>
      <c r="P63" s="9" t="n"/>
    </row>
    <row r="64">
      <c r="A64" s="8" t="n"/>
      <c r="B64" s="9" t="n"/>
      <c r="C64" s="9" t="n"/>
      <c r="D64" s="10" t="n"/>
      <c r="E64" s="10" t="n"/>
      <c r="F64" s="10" t="n"/>
      <c r="G64" s="9" t="n"/>
      <c r="H64" s="11" t="n"/>
      <c r="I64" s="12" t="n"/>
      <c r="J64" s="13">
        <f>IF(OR(D64="",E64="",G64=""),"",ABS(D64-E64)*G64)</f>
        <v/>
      </c>
      <c r="K64" s="10" t="n"/>
      <c r="L64" s="13">
        <f>IF(OR(D64="",K64="",G64=""),"",IF(LOWER(C64)="short",(D64-K64)*G64,(K64-D64)*G64))</f>
        <v/>
      </c>
      <c r="M64" s="14">
        <f>IF(OR(L64="",J64="",J64=0),"",L64/J64)</f>
        <v/>
      </c>
      <c r="N64" s="9" t="n"/>
      <c r="O64" s="9" t="n"/>
      <c r="P64" s="9" t="n"/>
    </row>
    <row r="65">
      <c r="A65" s="8" t="n"/>
      <c r="B65" s="9" t="n"/>
      <c r="C65" s="9" t="n"/>
      <c r="D65" s="10" t="n"/>
      <c r="E65" s="10" t="n"/>
      <c r="F65" s="10" t="n"/>
      <c r="G65" s="9" t="n"/>
      <c r="H65" s="11" t="n"/>
      <c r="I65" s="12" t="n"/>
      <c r="J65" s="13">
        <f>IF(OR(D65="",E65="",G65=""),"",ABS(D65-E65)*G65)</f>
        <v/>
      </c>
      <c r="K65" s="10" t="n"/>
      <c r="L65" s="13">
        <f>IF(OR(D65="",K65="",G65=""),"",IF(LOWER(C65)="short",(D65-K65)*G65,(K65-D65)*G65))</f>
        <v/>
      </c>
      <c r="M65" s="14">
        <f>IF(OR(L65="",J65="",J65=0),"",L65/J65)</f>
        <v/>
      </c>
      <c r="N65" s="9" t="n"/>
      <c r="O65" s="9" t="n"/>
      <c r="P65" s="9" t="n"/>
    </row>
    <row r="66">
      <c r="A66" s="8" t="n"/>
      <c r="B66" s="9" t="n"/>
      <c r="C66" s="9" t="n"/>
      <c r="D66" s="10" t="n"/>
      <c r="E66" s="10" t="n"/>
      <c r="F66" s="10" t="n"/>
      <c r="G66" s="9" t="n"/>
      <c r="H66" s="11" t="n"/>
      <c r="I66" s="12" t="n"/>
      <c r="J66" s="13">
        <f>IF(OR(D66="",E66="",G66=""),"",ABS(D66-E66)*G66)</f>
        <v/>
      </c>
      <c r="K66" s="10" t="n"/>
      <c r="L66" s="13">
        <f>IF(OR(D66="",K66="",G66=""),"",IF(LOWER(C66)="short",(D66-K66)*G66,(K66-D66)*G66))</f>
        <v/>
      </c>
      <c r="M66" s="14">
        <f>IF(OR(L66="",J66="",J66=0),"",L66/J66)</f>
        <v/>
      </c>
      <c r="N66" s="9" t="n"/>
      <c r="O66" s="9" t="n"/>
      <c r="P66" s="9" t="n"/>
    </row>
    <row r="67">
      <c r="A67" s="8" t="n"/>
      <c r="B67" s="9" t="n"/>
      <c r="C67" s="9" t="n"/>
      <c r="D67" s="10" t="n"/>
      <c r="E67" s="10" t="n"/>
      <c r="F67" s="10" t="n"/>
      <c r="G67" s="9" t="n"/>
      <c r="H67" s="11" t="n"/>
      <c r="I67" s="12" t="n"/>
      <c r="J67" s="13">
        <f>IF(OR(D67="",E67="",G67=""),"",ABS(D67-E67)*G67)</f>
        <v/>
      </c>
      <c r="K67" s="10" t="n"/>
      <c r="L67" s="13">
        <f>IF(OR(D67="",K67="",G67=""),"",IF(LOWER(C67)="short",(D67-K67)*G67,(K67-D67)*G67))</f>
        <v/>
      </c>
      <c r="M67" s="14">
        <f>IF(OR(L67="",J67="",J67=0),"",L67/J67)</f>
        <v/>
      </c>
      <c r="N67" s="9" t="n"/>
      <c r="O67" s="9" t="n"/>
      <c r="P67" s="9" t="n"/>
    </row>
    <row r="68">
      <c r="A68" s="8" t="n"/>
      <c r="B68" s="9" t="n"/>
      <c r="C68" s="9" t="n"/>
      <c r="D68" s="10" t="n"/>
      <c r="E68" s="10" t="n"/>
      <c r="F68" s="10" t="n"/>
      <c r="G68" s="9" t="n"/>
      <c r="H68" s="11" t="n"/>
      <c r="I68" s="12" t="n"/>
      <c r="J68" s="13">
        <f>IF(OR(D68="",E68="",G68=""),"",ABS(D68-E68)*G68)</f>
        <v/>
      </c>
      <c r="K68" s="10" t="n"/>
      <c r="L68" s="13">
        <f>IF(OR(D68="",K68="",G68=""),"",IF(LOWER(C68)="short",(D68-K68)*G68,(K68-D68)*G68))</f>
        <v/>
      </c>
      <c r="M68" s="14">
        <f>IF(OR(L68="",J68="",J68=0),"",L68/J68)</f>
        <v/>
      </c>
      <c r="N68" s="9" t="n"/>
      <c r="O68" s="9" t="n"/>
      <c r="P68" s="9" t="n"/>
    </row>
    <row r="69">
      <c r="A69" s="8" t="n"/>
      <c r="B69" s="9" t="n"/>
      <c r="C69" s="9" t="n"/>
      <c r="D69" s="10" t="n"/>
      <c r="E69" s="10" t="n"/>
      <c r="F69" s="10" t="n"/>
      <c r="G69" s="9" t="n"/>
      <c r="H69" s="11" t="n"/>
      <c r="I69" s="12" t="n"/>
      <c r="J69" s="13">
        <f>IF(OR(D69="",E69="",G69=""),"",ABS(D69-E69)*G69)</f>
        <v/>
      </c>
      <c r="K69" s="10" t="n"/>
      <c r="L69" s="13">
        <f>IF(OR(D69="",K69="",G69=""),"",IF(LOWER(C69)="short",(D69-K69)*G69,(K69-D69)*G69))</f>
        <v/>
      </c>
      <c r="M69" s="14">
        <f>IF(OR(L69="",J69="",J69=0),"",L69/J69)</f>
        <v/>
      </c>
      <c r="N69" s="9" t="n"/>
      <c r="O69" s="9" t="n"/>
      <c r="P69" s="9" t="n"/>
    </row>
    <row r="70">
      <c r="A70" s="8" t="n"/>
      <c r="B70" s="9" t="n"/>
      <c r="C70" s="9" t="n"/>
      <c r="D70" s="10" t="n"/>
      <c r="E70" s="10" t="n"/>
      <c r="F70" s="10" t="n"/>
      <c r="G70" s="9" t="n"/>
      <c r="H70" s="11" t="n"/>
      <c r="I70" s="12" t="n"/>
      <c r="J70" s="13">
        <f>IF(OR(D70="",E70="",G70=""),"",ABS(D70-E70)*G70)</f>
        <v/>
      </c>
      <c r="K70" s="10" t="n"/>
      <c r="L70" s="13">
        <f>IF(OR(D70="",K70="",G70=""),"",IF(LOWER(C70)="short",(D70-K70)*G70,(K70-D70)*G70))</f>
        <v/>
      </c>
      <c r="M70" s="14">
        <f>IF(OR(L70="",J70="",J70=0),"",L70/J70)</f>
        <v/>
      </c>
      <c r="N70" s="9" t="n"/>
      <c r="O70" s="9" t="n"/>
      <c r="P70" s="9" t="n"/>
    </row>
    <row r="71">
      <c r="A71" s="8" t="n"/>
      <c r="B71" s="9" t="n"/>
      <c r="C71" s="9" t="n"/>
      <c r="D71" s="10" t="n"/>
      <c r="E71" s="10" t="n"/>
      <c r="F71" s="10" t="n"/>
      <c r="G71" s="9" t="n"/>
      <c r="H71" s="11" t="n"/>
      <c r="I71" s="12" t="n"/>
      <c r="J71" s="13">
        <f>IF(OR(D71="",E71="",G71=""),"",ABS(D71-E71)*G71)</f>
        <v/>
      </c>
      <c r="K71" s="10" t="n"/>
      <c r="L71" s="13">
        <f>IF(OR(D71="",K71="",G71=""),"",IF(LOWER(C71)="short",(D71-K71)*G71,(K71-D71)*G71))</f>
        <v/>
      </c>
      <c r="M71" s="14">
        <f>IF(OR(L71="",J71="",J71=0),"",L71/J71)</f>
        <v/>
      </c>
      <c r="N71" s="9" t="n"/>
      <c r="O71" s="9" t="n"/>
      <c r="P71" s="9" t="n"/>
    </row>
    <row r="72">
      <c r="A72" s="8" t="n"/>
      <c r="B72" s="9" t="n"/>
      <c r="C72" s="9" t="n"/>
      <c r="D72" s="10" t="n"/>
      <c r="E72" s="10" t="n"/>
      <c r="F72" s="10" t="n"/>
      <c r="G72" s="9" t="n"/>
      <c r="H72" s="11" t="n"/>
      <c r="I72" s="12" t="n"/>
      <c r="J72" s="13">
        <f>IF(OR(D72="",E72="",G72=""),"",ABS(D72-E72)*G72)</f>
        <v/>
      </c>
      <c r="K72" s="10" t="n"/>
      <c r="L72" s="13">
        <f>IF(OR(D72="",K72="",G72=""),"",IF(LOWER(C72)="short",(D72-K72)*G72,(K72-D72)*G72))</f>
        <v/>
      </c>
      <c r="M72" s="14">
        <f>IF(OR(L72="",J72="",J72=0),"",L72/J72)</f>
        <v/>
      </c>
      <c r="N72" s="9" t="n"/>
      <c r="O72" s="9" t="n"/>
      <c r="P72" s="9" t="n"/>
    </row>
    <row r="73">
      <c r="A73" s="8" t="n"/>
      <c r="B73" s="9" t="n"/>
      <c r="C73" s="9" t="n"/>
      <c r="D73" s="10" t="n"/>
      <c r="E73" s="10" t="n"/>
      <c r="F73" s="10" t="n"/>
      <c r="G73" s="9" t="n"/>
      <c r="H73" s="11" t="n"/>
      <c r="I73" s="12" t="n"/>
      <c r="J73" s="13">
        <f>IF(OR(D73="",E73="",G73=""),"",ABS(D73-E73)*G73)</f>
        <v/>
      </c>
      <c r="K73" s="10" t="n"/>
      <c r="L73" s="13">
        <f>IF(OR(D73="",K73="",G73=""),"",IF(LOWER(C73)="short",(D73-K73)*G73,(K73-D73)*G73))</f>
        <v/>
      </c>
      <c r="M73" s="14">
        <f>IF(OR(L73="",J73="",J73=0),"",L73/J73)</f>
        <v/>
      </c>
      <c r="N73" s="9" t="n"/>
      <c r="O73" s="9" t="n"/>
      <c r="P73" s="9" t="n"/>
    </row>
    <row r="74">
      <c r="A74" s="8" t="n"/>
      <c r="B74" s="9" t="n"/>
      <c r="C74" s="9" t="n"/>
      <c r="D74" s="10" t="n"/>
      <c r="E74" s="10" t="n"/>
      <c r="F74" s="10" t="n"/>
      <c r="G74" s="9" t="n"/>
      <c r="H74" s="11" t="n"/>
      <c r="I74" s="12" t="n"/>
      <c r="J74" s="13">
        <f>IF(OR(D74="",E74="",G74=""),"",ABS(D74-E74)*G74)</f>
        <v/>
      </c>
      <c r="K74" s="10" t="n"/>
      <c r="L74" s="13">
        <f>IF(OR(D74="",K74="",G74=""),"",IF(LOWER(C74)="short",(D74-K74)*G74,(K74-D74)*G74))</f>
        <v/>
      </c>
      <c r="M74" s="14">
        <f>IF(OR(L74="",J74="",J74=0),"",L74/J74)</f>
        <v/>
      </c>
      <c r="N74" s="9" t="n"/>
      <c r="O74" s="9" t="n"/>
      <c r="P74" s="9" t="n"/>
    </row>
    <row r="75">
      <c r="A75" s="8" t="n"/>
      <c r="B75" s="9" t="n"/>
      <c r="C75" s="9" t="n"/>
      <c r="D75" s="10" t="n"/>
      <c r="E75" s="10" t="n"/>
      <c r="F75" s="10" t="n"/>
      <c r="G75" s="9" t="n"/>
      <c r="H75" s="11" t="n"/>
      <c r="I75" s="12" t="n"/>
      <c r="J75" s="13">
        <f>IF(OR(D75="",E75="",G75=""),"",ABS(D75-E75)*G75)</f>
        <v/>
      </c>
      <c r="K75" s="10" t="n"/>
      <c r="L75" s="13">
        <f>IF(OR(D75="",K75="",G75=""),"",IF(LOWER(C75)="short",(D75-K75)*G75,(K75-D75)*G75))</f>
        <v/>
      </c>
      <c r="M75" s="14">
        <f>IF(OR(L75="",J75="",J75=0),"",L75/J75)</f>
        <v/>
      </c>
      <c r="N75" s="9" t="n"/>
      <c r="O75" s="9" t="n"/>
      <c r="P75" s="9" t="n"/>
    </row>
    <row r="76">
      <c r="A76" s="8" t="n"/>
      <c r="B76" s="9" t="n"/>
      <c r="C76" s="9" t="n"/>
      <c r="D76" s="10" t="n"/>
      <c r="E76" s="10" t="n"/>
      <c r="F76" s="10" t="n"/>
      <c r="G76" s="9" t="n"/>
      <c r="H76" s="11" t="n"/>
      <c r="I76" s="12" t="n"/>
      <c r="J76" s="13">
        <f>IF(OR(D76="",E76="",G76=""),"",ABS(D76-E76)*G76)</f>
        <v/>
      </c>
      <c r="K76" s="10" t="n"/>
      <c r="L76" s="13">
        <f>IF(OR(D76="",K76="",G76=""),"",IF(LOWER(C76)="short",(D76-K76)*G76,(K76-D76)*G76))</f>
        <v/>
      </c>
      <c r="M76" s="14">
        <f>IF(OR(L76="",J76="",J76=0),"",L76/J76)</f>
        <v/>
      </c>
      <c r="N76" s="9" t="n"/>
      <c r="O76" s="9" t="n"/>
      <c r="P76" s="9" t="n"/>
    </row>
    <row r="77">
      <c r="A77" s="8" t="n"/>
      <c r="B77" s="9" t="n"/>
      <c r="C77" s="9" t="n"/>
      <c r="D77" s="10" t="n"/>
      <c r="E77" s="10" t="n"/>
      <c r="F77" s="10" t="n"/>
      <c r="G77" s="9" t="n"/>
      <c r="H77" s="11" t="n"/>
      <c r="I77" s="12" t="n"/>
      <c r="J77" s="13">
        <f>IF(OR(D77="",E77="",G77=""),"",ABS(D77-E77)*G77)</f>
        <v/>
      </c>
      <c r="K77" s="10" t="n"/>
      <c r="L77" s="13">
        <f>IF(OR(D77="",K77="",G77=""),"",IF(LOWER(C77)="short",(D77-K77)*G77,(K77-D77)*G77))</f>
        <v/>
      </c>
      <c r="M77" s="14">
        <f>IF(OR(L77="",J77="",J77=0),"",L77/J77)</f>
        <v/>
      </c>
      <c r="N77" s="9" t="n"/>
      <c r="O77" s="9" t="n"/>
      <c r="P77" s="9" t="n"/>
    </row>
    <row r="78">
      <c r="A78" s="8" t="n"/>
      <c r="B78" s="9" t="n"/>
      <c r="C78" s="9" t="n"/>
      <c r="D78" s="10" t="n"/>
      <c r="E78" s="10" t="n"/>
      <c r="F78" s="10" t="n"/>
      <c r="G78" s="9" t="n"/>
      <c r="H78" s="11" t="n"/>
      <c r="I78" s="12" t="n"/>
      <c r="J78" s="13">
        <f>IF(OR(D78="",E78="",G78=""),"",ABS(D78-E78)*G78)</f>
        <v/>
      </c>
      <c r="K78" s="10" t="n"/>
      <c r="L78" s="13">
        <f>IF(OR(D78="",K78="",G78=""),"",IF(LOWER(C78)="short",(D78-K78)*G78,(K78-D78)*G78))</f>
        <v/>
      </c>
      <c r="M78" s="14">
        <f>IF(OR(L78="",J78="",J78=0),"",L78/J78)</f>
        <v/>
      </c>
      <c r="N78" s="9" t="n"/>
      <c r="O78" s="9" t="n"/>
      <c r="P78" s="9" t="n"/>
    </row>
    <row r="79">
      <c r="A79" s="8" t="n"/>
      <c r="B79" s="9" t="n"/>
      <c r="C79" s="9" t="n"/>
      <c r="D79" s="10" t="n"/>
      <c r="E79" s="10" t="n"/>
      <c r="F79" s="10" t="n"/>
      <c r="G79" s="9" t="n"/>
      <c r="H79" s="11" t="n"/>
      <c r="I79" s="12" t="n"/>
      <c r="J79" s="13">
        <f>IF(OR(D79="",E79="",G79=""),"",ABS(D79-E79)*G79)</f>
        <v/>
      </c>
      <c r="K79" s="10" t="n"/>
      <c r="L79" s="13">
        <f>IF(OR(D79="",K79="",G79=""),"",IF(LOWER(C79)="short",(D79-K79)*G79,(K79-D79)*G79))</f>
        <v/>
      </c>
      <c r="M79" s="14">
        <f>IF(OR(L79="",J79="",J79=0),"",L79/J79)</f>
        <v/>
      </c>
      <c r="N79" s="9" t="n"/>
      <c r="O79" s="9" t="n"/>
      <c r="P79" s="9" t="n"/>
    </row>
    <row r="80">
      <c r="A80" s="8" t="n"/>
      <c r="B80" s="9" t="n"/>
      <c r="C80" s="9" t="n"/>
      <c r="D80" s="10" t="n"/>
      <c r="E80" s="10" t="n"/>
      <c r="F80" s="10" t="n"/>
      <c r="G80" s="9" t="n"/>
      <c r="H80" s="11" t="n"/>
      <c r="I80" s="12" t="n"/>
      <c r="J80" s="13">
        <f>IF(OR(D80="",E80="",G80=""),"",ABS(D80-E80)*G80)</f>
        <v/>
      </c>
      <c r="K80" s="10" t="n"/>
      <c r="L80" s="13">
        <f>IF(OR(D80="",K80="",G80=""),"",IF(LOWER(C80)="short",(D80-K80)*G80,(K80-D80)*G80))</f>
        <v/>
      </c>
      <c r="M80" s="14">
        <f>IF(OR(L80="",J80="",J80=0),"",L80/J80)</f>
        <v/>
      </c>
      <c r="N80" s="9" t="n"/>
      <c r="O80" s="9" t="n"/>
      <c r="P80" s="9" t="n"/>
    </row>
    <row r="81">
      <c r="A81" s="8" t="n"/>
      <c r="B81" s="9" t="n"/>
      <c r="C81" s="9" t="n"/>
      <c r="D81" s="10" t="n"/>
      <c r="E81" s="10" t="n"/>
      <c r="F81" s="10" t="n"/>
      <c r="G81" s="9" t="n"/>
      <c r="H81" s="11" t="n"/>
      <c r="I81" s="12" t="n"/>
      <c r="J81" s="13">
        <f>IF(OR(D81="",E81="",G81=""),"",ABS(D81-E81)*G81)</f>
        <v/>
      </c>
      <c r="K81" s="10" t="n"/>
      <c r="L81" s="13">
        <f>IF(OR(D81="",K81="",G81=""),"",IF(LOWER(C81)="short",(D81-K81)*G81,(K81-D81)*G81))</f>
        <v/>
      </c>
      <c r="M81" s="14">
        <f>IF(OR(L81="",J81="",J81=0),"",L81/J81)</f>
        <v/>
      </c>
      <c r="N81" s="9" t="n"/>
      <c r="O81" s="9" t="n"/>
      <c r="P81" s="9" t="n"/>
    </row>
    <row r="82">
      <c r="A82" s="8" t="n"/>
      <c r="B82" s="9" t="n"/>
      <c r="C82" s="9" t="n"/>
      <c r="D82" s="10" t="n"/>
      <c r="E82" s="10" t="n"/>
      <c r="F82" s="10" t="n"/>
      <c r="G82" s="9" t="n"/>
      <c r="H82" s="11" t="n"/>
      <c r="I82" s="12" t="n"/>
      <c r="J82" s="13">
        <f>IF(OR(D82="",E82="",G82=""),"",ABS(D82-E82)*G82)</f>
        <v/>
      </c>
      <c r="K82" s="10" t="n"/>
      <c r="L82" s="13">
        <f>IF(OR(D82="",K82="",G82=""),"",IF(LOWER(C82)="short",(D82-K82)*G82,(K82-D82)*G82))</f>
        <v/>
      </c>
      <c r="M82" s="14">
        <f>IF(OR(L82="",J82="",J82=0),"",L82/J82)</f>
        <v/>
      </c>
      <c r="N82" s="9" t="n"/>
      <c r="O82" s="9" t="n"/>
      <c r="P82" s="9" t="n"/>
    </row>
    <row r="83">
      <c r="A83" s="8" t="n"/>
      <c r="B83" s="9" t="n"/>
      <c r="C83" s="9" t="n"/>
      <c r="D83" s="10" t="n"/>
      <c r="E83" s="10" t="n"/>
      <c r="F83" s="10" t="n"/>
      <c r="G83" s="9" t="n"/>
      <c r="H83" s="11" t="n"/>
      <c r="I83" s="12" t="n"/>
      <c r="J83" s="13">
        <f>IF(OR(D83="",E83="",G83=""),"",ABS(D83-E83)*G83)</f>
        <v/>
      </c>
      <c r="K83" s="10" t="n"/>
      <c r="L83" s="13">
        <f>IF(OR(D83="",K83="",G83=""),"",IF(LOWER(C83)="short",(D83-K83)*G83,(K83-D83)*G83))</f>
        <v/>
      </c>
      <c r="M83" s="14">
        <f>IF(OR(L83="",J83="",J83=0),"",L83/J83)</f>
        <v/>
      </c>
      <c r="N83" s="9" t="n"/>
      <c r="O83" s="9" t="n"/>
      <c r="P83" s="9" t="n"/>
    </row>
    <row r="84">
      <c r="A84" s="8" t="n"/>
      <c r="B84" s="9" t="n"/>
      <c r="C84" s="9" t="n"/>
      <c r="D84" s="10" t="n"/>
      <c r="E84" s="10" t="n"/>
      <c r="F84" s="10" t="n"/>
      <c r="G84" s="9" t="n"/>
      <c r="H84" s="11" t="n"/>
      <c r="I84" s="12" t="n"/>
      <c r="J84" s="13">
        <f>IF(OR(D84="",E84="",G84=""),"",ABS(D84-E84)*G84)</f>
        <v/>
      </c>
      <c r="K84" s="10" t="n"/>
      <c r="L84" s="13">
        <f>IF(OR(D84="",K84="",G84=""),"",IF(LOWER(C84)="short",(D84-K84)*G84,(K84-D84)*G84))</f>
        <v/>
      </c>
      <c r="M84" s="14">
        <f>IF(OR(L84="",J84="",J84=0),"",L84/J84)</f>
        <v/>
      </c>
      <c r="N84" s="9" t="n"/>
      <c r="O84" s="9" t="n"/>
      <c r="P84" s="9" t="n"/>
    </row>
    <row r="85">
      <c r="A85" s="8" t="n"/>
      <c r="B85" s="9" t="n"/>
      <c r="C85" s="9" t="n"/>
      <c r="D85" s="10" t="n"/>
      <c r="E85" s="10" t="n"/>
      <c r="F85" s="10" t="n"/>
      <c r="G85" s="9" t="n"/>
      <c r="H85" s="11" t="n"/>
      <c r="I85" s="12" t="n"/>
      <c r="J85" s="13">
        <f>IF(OR(D85="",E85="",G85=""),"",ABS(D85-E85)*G85)</f>
        <v/>
      </c>
      <c r="K85" s="10" t="n"/>
      <c r="L85" s="13">
        <f>IF(OR(D85="",K85="",G85=""),"",IF(LOWER(C85)="short",(D85-K85)*G85,(K85-D85)*G85))</f>
        <v/>
      </c>
      <c r="M85" s="14">
        <f>IF(OR(L85="",J85="",J85=0),"",L85/J85)</f>
        <v/>
      </c>
      <c r="N85" s="9" t="n"/>
      <c r="O85" s="9" t="n"/>
      <c r="P85" s="9" t="n"/>
    </row>
    <row r="86">
      <c r="A86" s="8" t="n"/>
      <c r="B86" s="9" t="n"/>
      <c r="C86" s="9" t="n"/>
      <c r="D86" s="10" t="n"/>
      <c r="E86" s="10" t="n"/>
      <c r="F86" s="10" t="n"/>
      <c r="G86" s="9" t="n"/>
      <c r="H86" s="11" t="n"/>
      <c r="I86" s="12" t="n"/>
      <c r="J86" s="13">
        <f>IF(OR(D86="",E86="",G86=""),"",ABS(D86-E86)*G86)</f>
        <v/>
      </c>
      <c r="K86" s="10" t="n"/>
      <c r="L86" s="13">
        <f>IF(OR(D86="",K86="",G86=""),"",IF(LOWER(C86)="short",(D86-K86)*G86,(K86-D86)*G86))</f>
        <v/>
      </c>
      <c r="M86" s="14">
        <f>IF(OR(L86="",J86="",J86=0),"",L86/J86)</f>
        <v/>
      </c>
      <c r="N86" s="9" t="n"/>
      <c r="O86" s="9" t="n"/>
      <c r="P86" s="9" t="n"/>
    </row>
    <row r="87">
      <c r="A87" s="8" t="n"/>
      <c r="B87" s="9" t="n"/>
      <c r="C87" s="9" t="n"/>
      <c r="D87" s="10" t="n"/>
      <c r="E87" s="10" t="n"/>
      <c r="F87" s="10" t="n"/>
      <c r="G87" s="9" t="n"/>
      <c r="H87" s="11" t="n"/>
      <c r="I87" s="12" t="n"/>
      <c r="J87" s="13">
        <f>IF(OR(D87="",E87="",G87=""),"",ABS(D87-E87)*G87)</f>
        <v/>
      </c>
      <c r="K87" s="10" t="n"/>
      <c r="L87" s="13">
        <f>IF(OR(D87="",K87="",G87=""),"",IF(LOWER(C87)="short",(D87-K87)*G87,(K87-D87)*G87))</f>
        <v/>
      </c>
      <c r="M87" s="14">
        <f>IF(OR(L87="",J87="",J87=0),"",L87/J87)</f>
        <v/>
      </c>
      <c r="N87" s="9" t="n"/>
      <c r="O87" s="9" t="n"/>
      <c r="P87" s="9" t="n"/>
    </row>
    <row r="88">
      <c r="A88" s="8" t="n"/>
      <c r="B88" s="9" t="n"/>
      <c r="C88" s="9" t="n"/>
      <c r="D88" s="10" t="n"/>
      <c r="E88" s="10" t="n"/>
      <c r="F88" s="10" t="n"/>
      <c r="G88" s="9" t="n"/>
      <c r="H88" s="11" t="n"/>
      <c r="I88" s="12" t="n"/>
      <c r="J88" s="13">
        <f>IF(OR(D88="",E88="",G88=""),"",ABS(D88-E88)*G88)</f>
        <v/>
      </c>
      <c r="K88" s="10" t="n"/>
      <c r="L88" s="13">
        <f>IF(OR(D88="",K88="",G88=""),"",IF(LOWER(C88)="short",(D88-K88)*G88,(K88-D88)*G88))</f>
        <v/>
      </c>
      <c r="M88" s="14">
        <f>IF(OR(L88="",J88="",J88=0),"",L88/J88)</f>
        <v/>
      </c>
      <c r="N88" s="9" t="n"/>
      <c r="O88" s="9" t="n"/>
      <c r="P88" s="9" t="n"/>
    </row>
    <row r="89">
      <c r="A89" s="8" t="n"/>
      <c r="B89" s="9" t="n"/>
      <c r="C89" s="9" t="n"/>
      <c r="D89" s="10" t="n"/>
      <c r="E89" s="10" t="n"/>
      <c r="F89" s="10" t="n"/>
      <c r="G89" s="9" t="n"/>
      <c r="H89" s="11" t="n"/>
      <c r="I89" s="12" t="n"/>
      <c r="J89" s="13">
        <f>IF(OR(D89="",E89="",G89=""),"",ABS(D89-E89)*G89)</f>
        <v/>
      </c>
      <c r="K89" s="10" t="n"/>
      <c r="L89" s="13">
        <f>IF(OR(D89="",K89="",G89=""),"",IF(LOWER(C89)="short",(D89-K89)*G89,(K89-D89)*G89))</f>
        <v/>
      </c>
      <c r="M89" s="14">
        <f>IF(OR(L89="",J89="",J89=0),"",L89/J89)</f>
        <v/>
      </c>
      <c r="N89" s="9" t="n"/>
      <c r="O89" s="9" t="n"/>
      <c r="P89" s="9" t="n"/>
    </row>
    <row r="90">
      <c r="A90" s="8" t="n"/>
      <c r="B90" s="9" t="n"/>
      <c r="C90" s="9" t="n"/>
      <c r="D90" s="10" t="n"/>
      <c r="E90" s="10" t="n"/>
      <c r="F90" s="10" t="n"/>
      <c r="G90" s="9" t="n"/>
      <c r="H90" s="11" t="n"/>
      <c r="I90" s="12" t="n"/>
      <c r="J90" s="13">
        <f>IF(OR(D90="",E90="",G90=""),"",ABS(D90-E90)*G90)</f>
        <v/>
      </c>
      <c r="K90" s="10" t="n"/>
      <c r="L90" s="13">
        <f>IF(OR(D90="",K90="",G90=""),"",IF(LOWER(C90)="short",(D90-K90)*G90,(K90-D90)*G90))</f>
        <v/>
      </c>
      <c r="M90" s="14">
        <f>IF(OR(L90="",J90="",J90=0),"",L90/J90)</f>
        <v/>
      </c>
      <c r="N90" s="9" t="n"/>
      <c r="O90" s="9" t="n"/>
      <c r="P90" s="9" t="n"/>
    </row>
    <row r="91">
      <c r="A91" s="8" t="n"/>
      <c r="B91" s="9" t="n"/>
      <c r="C91" s="9" t="n"/>
      <c r="D91" s="10" t="n"/>
      <c r="E91" s="10" t="n"/>
      <c r="F91" s="10" t="n"/>
      <c r="G91" s="9" t="n"/>
      <c r="H91" s="11" t="n"/>
      <c r="I91" s="12" t="n"/>
      <c r="J91" s="13">
        <f>IF(OR(D91="",E91="",G91=""),"",ABS(D91-E91)*G91)</f>
        <v/>
      </c>
      <c r="K91" s="10" t="n"/>
      <c r="L91" s="13">
        <f>IF(OR(D91="",K91="",G91=""),"",IF(LOWER(C91)="short",(D91-K91)*G91,(K91-D91)*G91))</f>
        <v/>
      </c>
      <c r="M91" s="14">
        <f>IF(OR(L91="",J91="",J91=0),"",L91/J91)</f>
        <v/>
      </c>
      <c r="N91" s="9" t="n"/>
      <c r="O91" s="9" t="n"/>
      <c r="P91" s="9" t="n"/>
    </row>
    <row r="92">
      <c r="A92" s="8" t="n"/>
      <c r="B92" s="9" t="n"/>
      <c r="C92" s="9" t="n"/>
      <c r="D92" s="10" t="n"/>
      <c r="E92" s="10" t="n"/>
      <c r="F92" s="10" t="n"/>
      <c r="G92" s="9" t="n"/>
      <c r="H92" s="11" t="n"/>
      <c r="I92" s="12" t="n"/>
      <c r="J92" s="13">
        <f>IF(OR(D92="",E92="",G92=""),"",ABS(D92-E92)*G92)</f>
        <v/>
      </c>
      <c r="K92" s="10" t="n"/>
      <c r="L92" s="13">
        <f>IF(OR(D92="",K92="",G92=""),"",IF(LOWER(C92)="short",(D92-K92)*G92,(K92-D92)*G92))</f>
        <v/>
      </c>
      <c r="M92" s="14">
        <f>IF(OR(L92="",J92="",J92=0),"",L92/J92)</f>
        <v/>
      </c>
      <c r="N92" s="9" t="n"/>
      <c r="O92" s="9" t="n"/>
      <c r="P92" s="9" t="n"/>
    </row>
    <row r="93">
      <c r="A93" s="8" t="n"/>
      <c r="B93" s="9" t="n"/>
      <c r="C93" s="9" t="n"/>
      <c r="D93" s="10" t="n"/>
      <c r="E93" s="10" t="n"/>
      <c r="F93" s="10" t="n"/>
      <c r="G93" s="9" t="n"/>
      <c r="H93" s="11" t="n"/>
      <c r="I93" s="12" t="n"/>
      <c r="J93" s="13">
        <f>IF(OR(D93="",E93="",G93=""),"",ABS(D93-E93)*G93)</f>
        <v/>
      </c>
      <c r="K93" s="10" t="n"/>
      <c r="L93" s="13">
        <f>IF(OR(D93="",K93="",G93=""),"",IF(LOWER(C93)="short",(D93-K93)*G93,(K93-D93)*G93))</f>
        <v/>
      </c>
      <c r="M93" s="14">
        <f>IF(OR(L93="",J93="",J93=0),"",L93/J93)</f>
        <v/>
      </c>
      <c r="N93" s="9" t="n"/>
      <c r="O93" s="9" t="n"/>
      <c r="P93" s="9" t="n"/>
    </row>
    <row r="94">
      <c r="A94" s="8" t="n"/>
      <c r="B94" s="9" t="n"/>
      <c r="C94" s="9" t="n"/>
      <c r="D94" s="10" t="n"/>
      <c r="E94" s="10" t="n"/>
      <c r="F94" s="10" t="n"/>
      <c r="G94" s="9" t="n"/>
      <c r="H94" s="11" t="n"/>
      <c r="I94" s="12" t="n"/>
      <c r="J94" s="13">
        <f>IF(OR(D94="",E94="",G94=""),"",ABS(D94-E94)*G94)</f>
        <v/>
      </c>
      <c r="K94" s="10" t="n"/>
      <c r="L94" s="13">
        <f>IF(OR(D94="",K94="",G94=""),"",IF(LOWER(C94)="short",(D94-K94)*G94,(K94-D94)*G94))</f>
        <v/>
      </c>
      <c r="M94" s="14">
        <f>IF(OR(L94="",J94="",J94=0),"",L94/J94)</f>
        <v/>
      </c>
      <c r="N94" s="9" t="n"/>
      <c r="O94" s="9" t="n"/>
      <c r="P94" s="9" t="n"/>
    </row>
    <row r="95">
      <c r="A95" s="8" t="n"/>
      <c r="B95" s="9" t="n"/>
      <c r="C95" s="9" t="n"/>
      <c r="D95" s="10" t="n"/>
      <c r="E95" s="10" t="n"/>
      <c r="F95" s="10" t="n"/>
      <c r="G95" s="9" t="n"/>
      <c r="H95" s="11" t="n"/>
      <c r="I95" s="12" t="n"/>
      <c r="J95" s="13">
        <f>IF(OR(D95="",E95="",G95=""),"",ABS(D95-E95)*G95)</f>
        <v/>
      </c>
      <c r="K95" s="10" t="n"/>
      <c r="L95" s="13">
        <f>IF(OR(D95="",K95="",G95=""),"",IF(LOWER(C95)="short",(D95-K95)*G95,(K95-D95)*G95))</f>
        <v/>
      </c>
      <c r="M95" s="14">
        <f>IF(OR(L95="",J95="",J95=0),"",L95/J95)</f>
        <v/>
      </c>
      <c r="N95" s="9" t="n"/>
      <c r="O95" s="9" t="n"/>
      <c r="P95" s="9" t="n"/>
    </row>
    <row r="96">
      <c r="A96" s="8" t="n"/>
      <c r="B96" s="9" t="n"/>
      <c r="C96" s="9" t="n"/>
      <c r="D96" s="10" t="n"/>
      <c r="E96" s="10" t="n"/>
      <c r="F96" s="10" t="n"/>
      <c r="G96" s="9" t="n"/>
      <c r="H96" s="11" t="n"/>
      <c r="I96" s="12" t="n"/>
      <c r="J96" s="13">
        <f>IF(OR(D96="",E96="",G96=""),"",ABS(D96-E96)*G96)</f>
        <v/>
      </c>
      <c r="K96" s="10" t="n"/>
      <c r="L96" s="13">
        <f>IF(OR(D96="",K96="",G96=""),"",IF(LOWER(C96)="short",(D96-K96)*G96,(K96-D96)*G96))</f>
        <v/>
      </c>
      <c r="M96" s="14">
        <f>IF(OR(L96="",J96="",J96=0),"",L96/J96)</f>
        <v/>
      </c>
      <c r="N96" s="9" t="n"/>
      <c r="O96" s="9" t="n"/>
      <c r="P96" s="9" t="n"/>
    </row>
    <row r="97">
      <c r="A97" s="8" t="n"/>
      <c r="B97" s="9" t="n"/>
      <c r="C97" s="9" t="n"/>
      <c r="D97" s="10" t="n"/>
      <c r="E97" s="10" t="n"/>
      <c r="F97" s="10" t="n"/>
      <c r="G97" s="9" t="n"/>
      <c r="H97" s="11" t="n"/>
      <c r="I97" s="12" t="n"/>
      <c r="J97" s="13">
        <f>IF(OR(D97="",E97="",G97=""),"",ABS(D97-E97)*G97)</f>
        <v/>
      </c>
      <c r="K97" s="10" t="n"/>
      <c r="L97" s="13">
        <f>IF(OR(D97="",K97="",G97=""),"",IF(LOWER(C97)="short",(D97-K97)*G97,(K97-D97)*G97))</f>
        <v/>
      </c>
      <c r="M97" s="14">
        <f>IF(OR(L97="",J97="",J97=0),"",L97/J97)</f>
        <v/>
      </c>
      <c r="N97" s="9" t="n"/>
      <c r="O97" s="9" t="n"/>
      <c r="P97" s="9" t="n"/>
    </row>
    <row r="98">
      <c r="A98" s="8" t="n"/>
      <c r="B98" s="9" t="n"/>
      <c r="C98" s="9" t="n"/>
      <c r="D98" s="10" t="n"/>
      <c r="E98" s="10" t="n"/>
      <c r="F98" s="10" t="n"/>
      <c r="G98" s="9" t="n"/>
      <c r="H98" s="11" t="n"/>
      <c r="I98" s="12" t="n"/>
      <c r="J98" s="13">
        <f>IF(OR(D98="",E98="",G98=""),"",ABS(D98-E98)*G98)</f>
        <v/>
      </c>
      <c r="K98" s="10" t="n"/>
      <c r="L98" s="13">
        <f>IF(OR(D98="",K98="",G98=""),"",IF(LOWER(C98)="short",(D98-K98)*G98,(K98-D98)*G98))</f>
        <v/>
      </c>
      <c r="M98" s="14">
        <f>IF(OR(L98="",J98="",J98=0),"",L98/J98)</f>
        <v/>
      </c>
      <c r="N98" s="9" t="n"/>
      <c r="O98" s="9" t="n"/>
      <c r="P98" s="9" t="n"/>
    </row>
    <row r="99">
      <c r="A99" s="8" t="n"/>
      <c r="B99" s="9" t="n"/>
      <c r="C99" s="9" t="n"/>
      <c r="D99" s="10" t="n"/>
      <c r="E99" s="10" t="n"/>
      <c r="F99" s="10" t="n"/>
      <c r="G99" s="9" t="n"/>
      <c r="H99" s="11" t="n"/>
      <c r="I99" s="12" t="n"/>
      <c r="J99" s="13">
        <f>IF(OR(D99="",E99="",G99=""),"",ABS(D99-E99)*G99)</f>
        <v/>
      </c>
      <c r="K99" s="10" t="n"/>
      <c r="L99" s="13">
        <f>IF(OR(D99="",K99="",G99=""),"",IF(LOWER(C99)="short",(D99-K99)*G99,(K99-D99)*G99))</f>
        <v/>
      </c>
      <c r="M99" s="14">
        <f>IF(OR(L99="",J99="",J99=0),"",L99/J99)</f>
        <v/>
      </c>
      <c r="N99" s="9" t="n"/>
      <c r="O99" s="9" t="n"/>
      <c r="P99" s="9" t="n"/>
    </row>
    <row r="100">
      <c r="A100" s="8" t="n"/>
      <c r="B100" s="9" t="n"/>
      <c r="C100" s="9" t="n"/>
      <c r="D100" s="10" t="n"/>
      <c r="E100" s="10" t="n"/>
      <c r="F100" s="10" t="n"/>
      <c r="G100" s="9" t="n"/>
      <c r="H100" s="11" t="n"/>
      <c r="I100" s="12" t="n"/>
      <c r="J100" s="13">
        <f>IF(OR(D100="",E100="",G100=""),"",ABS(D100-E100)*G100)</f>
        <v/>
      </c>
      <c r="K100" s="10" t="n"/>
      <c r="L100" s="13">
        <f>IF(OR(D100="",K100="",G100=""),"",IF(LOWER(C100)="short",(D100-K100)*G100,(K100-D100)*G100))</f>
        <v/>
      </c>
      <c r="M100" s="14">
        <f>IF(OR(L100="",J100="",J100=0),"",L100/J100)</f>
        <v/>
      </c>
      <c r="N100" s="9" t="n"/>
      <c r="O100" s="9" t="n"/>
      <c r="P100" s="9" t="n"/>
    </row>
    <row r="101">
      <c r="A101" s="8" t="n"/>
      <c r="B101" s="9" t="n"/>
      <c r="C101" s="9" t="n"/>
      <c r="D101" s="10" t="n"/>
      <c r="E101" s="10" t="n"/>
      <c r="F101" s="10" t="n"/>
      <c r="G101" s="9" t="n"/>
      <c r="H101" s="11" t="n"/>
      <c r="I101" s="12" t="n"/>
      <c r="J101" s="13">
        <f>IF(OR(D101="",E101="",G101=""),"",ABS(D101-E101)*G101)</f>
        <v/>
      </c>
      <c r="K101" s="10" t="n"/>
      <c r="L101" s="13">
        <f>IF(OR(D101="",K101="",G101=""),"",IF(LOWER(C101)="short",(D101-K101)*G101,(K101-D101)*G101))</f>
        <v/>
      </c>
      <c r="M101" s="14">
        <f>IF(OR(L101="",J101="",J101=0),"",L101/J101)</f>
        <v/>
      </c>
      <c r="N101" s="9" t="n"/>
      <c r="O101" s="9" t="n"/>
      <c r="P101" s="9" t="n"/>
    </row>
    <row r="102">
      <c r="A102" s="8" t="n"/>
      <c r="B102" s="9" t="n"/>
      <c r="C102" s="9" t="n"/>
      <c r="D102" s="10" t="n"/>
      <c r="E102" s="10" t="n"/>
      <c r="F102" s="10" t="n"/>
      <c r="G102" s="9" t="n"/>
      <c r="H102" s="11" t="n"/>
      <c r="I102" s="12" t="n"/>
      <c r="J102" s="13">
        <f>IF(OR(D102="",E102="",G102=""),"",ABS(D102-E102)*G102)</f>
        <v/>
      </c>
      <c r="K102" s="10" t="n"/>
      <c r="L102" s="13">
        <f>IF(OR(D102="",K102="",G102=""),"",IF(LOWER(C102)="short",(D102-K102)*G102,(K102-D102)*G102))</f>
        <v/>
      </c>
      <c r="M102" s="14">
        <f>IF(OR(L102="",J102="",J102=0),"",L102/J102)</f>
        <v/>
      </c>
      <c r="N102" s="9" t="n"/>
      <c r="O102" s="9" t="n"/>
      <c r="P102" s="9" t="n"/>
    </row>
    <row r="103">
      <c r="A103" s="8" t="n"/>
      <c r="B103" s="9" t="n"/>
      <c r="C103" s="9" t="n"/>
      <c r="D103" s="10" t="n"/>
      <c r="E103" s="10" t="n"/>
      <c r="F103" s="10" t="n"/>
      <c r="G103" s="9" t="n"/>
      <c r="H103" s="11" t="n"/>
      <c r="I103" s="12" t="n"/>
      <c r="J103" s="13">
        <f>IF(OR(D103="",E103="",G103=""),"",ABS(D103-E103)*G103)</f>
        <v/>
      </c>
      <c r="K103" s="10" t="n"/>
      <c r="L103" s="13">
        <f>IF(OR(D103="",K103="",G103=""),"",IF(LOWER(C103)="short",(D103-K103)*G103,(K103-D103)*G103))</f>
        <v/>
      </c>
      <c r="M103" s="14">
        <f>IF(OR(L103="",J103="",J103=0),"",L103/J103)</f>
        <v/>
      </c>
      <c r="N103" s="9" t="n"/>
      <c r="O103" s="9" t="n"/>
      <c r="P103" s="9" t="n"/>
    </row>
    <row r="104">
      <c r="A104" s="8" t="n"/>
      <c r="B104" s="9" t="n"/>
      <c r="C104" s="9" t="n"/>
      <c r="D104" s="10" t="n"/>
      <c r="E104" s="10" t="n"/>
      <c r="F104" s="10" t="n"/>
      <c r="G104" s="9" t="n"/>
      <c r="H104" s="11" t="n"/>
      <c r="I104" s="12" t="n"/>
      <c r="J104" s="13">
        <f>IF(OR(D104="",E104="",G104=""),"",ABS(D104-E104)*G104)</f>
        <v/>
      </c>
      <c r="K104" s="10" t="n"/>
      <c r="L104" s="13">
        <f>IF(OR(D104="",K104="",G104=""),"",IF(LOWER(C104)="short",(D104-K104)*G104,(K104-D104)*G104))</f>
        <v/>
      </c>
      <c r="M104" s="14">
        <f>IF(OR(L104="",J104="",J104=0),"",L104/J104)</f>
        <v/>
      </c>
      <c r="N104" s="9" t="n"/>
      <c r="O104" s="9" t="n"/>
      <c r="P104" s="9" t="n"/>
    </row>
    <row r="105">
      <c r="A105" s="8" t="n"/>
      <c r="B105" s="9" t="n"/>
      <c r="C105" s="9" t="n"/>
      <c r="D105" s="10" t="n"/>
      <c r="E105" s="10" t="n"/>
      <c r="F105" s="10" t="n"/>
      <c r="G105" s="9" t="n"/>
      <c r="H105" s="11" t="n"/>
      <c r="I105" s="12" t="n"/>
      <c r="J105" s="13">
        <f>IF(OR(D105="",E105="",G105=""),"",ABS(D105-E105)*G105)</f>
        <v/>
      </c>
      <c r="K105" s="10" t="n"/>
      <c r="L105" s="13">
        <f>IF(OR(D105="",K105="",G105=""),"",IF(LOWER(C105)="short",(D105-K105)*G105,(K105-D105)*G105))</f>
        <v/>
      </c>
      <c r="M105" s="14">
        <f>IF(OR(L105="",J105="",J105=0),"",L105/J105)</f>
        <v/>
      </c>
      <c r="N105" s="9" t="n"/>
      <c r="O105" s="9" t="n"/>
      <c r="P105" s="9" t="n"/>
    </row>
    <row r="106">
      <c r="A106" s="8" t="n"/>
      <c r="B106" s="9" t="n"/>
      <c r="C106" s="9" t="n"/>
      <c r="D106" s="10" t="n"/>
      <c r="E106" s="10" t="n"/>
      <c r="F106" s="10" t="n"/>
      <c r="G106" s="9" t="n"/>
      <c r="H106" s="11" t="n"/>
      <c r="I106" s="12" t="n"/>
      <c r="J106" s="13">
        <f>IF(OR(D106="",E106="",G106=""),"",ABS(D106-E106)*G106)</f>
        <v/>
      </c>
      <c r="K106" s="10" t="n"/>
      <c r="L106" s="13">
        <f>IF(OR(D106="",K106="",G106=""),"",IF(LOWER(C106)="short",(D106-K106)*G106,(K106-D106)*G106))</f>
        <v/>
      </c>
      <c r="M106" s="14">
        <f>IF(OR(L106="",J106="",J106=0),"",L106/J106)</f>
        <v/>
      </c>
      <c r="N106" s="9" t="n"/>
      <c r="O106" s="9" t="n"/>
      <c r="P106" s="9" t="n"/>
    </row>
    <row r="107">
      <c r="A107" s="8" t="n"/>
      <c r="B107" s="9" t="n"/>
      <c r="C107" s="9" t="n"/>
      <c r="D107" s="10" t="n"/>
      <c r="E107" s="10" t="n"/>
      <c r="F107" s="10" t="n"/>
      <c r="G107" s="9" t="n"/>
      <c r="H107" s="11" t="n"/>
      <c r="I107" s="12" t="n"/>
      <c r="J107" s="13">
        <f>IF(OR(D107="",E107="",G107=""),"",ABS(D107-E107)*G107)</f>
        <v/>
      </c>
      <c r="K107" s="10" t="n"/>
      <c r="L107" s="13">
        <f>IF(OR(D107="",K107="",G107=""),"",IF(LOWER(C107)="short",(D107-K107)*G107,(K107-D107)*G107))</f>
        <v/>
      </c>
      <c r="M107" s="14">
        <f>IF(OR(L107="",J107="",J107=0),"",L107/J107)</f>
        <v/>
      </c>
      <c r="N107" s="9" t="n"/>
      <c r="O107" s="9" t="n"/>
      <c r="P107" s="9" t="n"/>
    </row>
    <row r="108">
      <c r="A108" s="8" t="n"/>
      <c r="B108" s="9" t="n"/>
      <c r="C108" s="9" t="n"/>
      <c r="D108" s="10" t="n"/>
      <c r="E108" s="10" t="n"/>
      <c r="F108" s="10" t="n"/>
      <c r="G108" s="9" t="n"/>
      <c r="H108" s="11" t="n"/>
      <c r="I108" s="12" t="n"/>
      <c r="J108" s="13">
        <f>IF(OR(D108="",E108="",G108=""),"",ABS(D108-E108)*G108)</f>
        <v/>
      </c>
      <c r="K108" s="10" t="n"/>
      <c r="L108" s="13">
        <f>IF(OR(D108="",K108="",G108=""),"",IF(LOWER(C108)="short",(D108-K108)*G108,(K108-D108)*G108))</f>
        <v/>
      </c>
      <c r="M108" s="14">
        <f>IF(OR(L108="",J108="",J108=0),"",L108/J108)</f>
        <v/>
      </c>
      <c r="N108" s="9" t="n"/>
      <c r="O108" s="9" t="n"/>
      <c r="P108" s="9" t="n"/>
    </row>
    <row r="109">
      <c r="A109" s="8" t="n"/>
      <c r="B109" s="9" t="n"/>
      <c r="C109" s="9" t="n"/>
      <c r="D109" s="10" t="n"/>
      <c r="E109" s="10" t="n"/>
      <c r="F109" s="10" t="n"/>
      <c r="G109" s="9" t="n"/>
      <c r="H109" s="11" t="n"/>
      <c r="I109" s="12" t="n"/>
      <c r="J109" s="13">
        <f>IF(OR(D109="",E109="",G109=""),"",ABS(D109-E109)*G109)</f>
        <v/>
      </c>
      <c r="K109" s="10" t="n"/>
      <c r="L109" s="13">
        <f>IF(OR(D109="",K109="",G109=""),"",IF(LOWER(C109)="short",(D109-K109)*G109,(K109-D109)*G109))</f>
        <v/>
      </c>
      <c r="M109" s="14">
        <f>IF(OR(L109="",J109="",J109=0),"",L109/J109)</f>
        <v/>
      </c>
      <c r="N109" s="9" t="n"/>
      <c r="O109" s="9" t="n"/>
      <c r="P109" s="9" t="n"/>
    </row>
    <row r="110">
      <c r="A110" s="8" t="n"/>
      <c r="B110" s="9" t="n"/>
      <c r="C110" s="9" t="n"/>
      <c r="D110" s="10" t="n"/>
      <c r="E110" s="10" t="n"/>
      <c r="F110" s="10" t="n"/>
      <c r="G110" s="9" t="n"/>
      <c r="H110" s="11" t="n"/>
      <c r="I110" s="12" t="n"/>
      <c r="J110" s="13">
        <f>IF(OR(D110="",E110="",G110=""),"",ABS(D110-E110)*G110)</f>
        <v/>
      </c>
      <c r="K110" s="10" t="n"/>
      <c r="L110" s="13">
        <f>IF(OR(D110="",K110="",G110=""),"",IF(LOWER(C110)="short",(D110-K110)*G110,(K110-D110)*G110))</f>
        <v/>
      </c>
      <c r="M110" s="14">
        <f>IF(OR(L110="",J110="",J110=0),"",L110/J110)</f>
        <v/>
      </c>
      <c r="N110" s="9" t="n"/>
      <c r="O110" s="9" t="n"/>
      <c r="P110" s="9" t="n"/>
    </row>
    <row r="111">
      <c r="A111" s="8" t="n"/>
      <c r="B111" s="9" t="n"/>
      <c r="C111" s="9" t="n"/>
      <c r="D111" s="10" t="n"/>
      <c r="E111" s="10" t="n"/>
      <c r="F111" s="10" t="n"/>
      <c r="G111" s="9" t="n"/>
      <c r="H111" s="11" t="n"/>
      <c r="I111" s="12" t="n"/>
      <c r="J111" s="13">
        <f>IF(OR(D111="",E111="",G111=""),"",ABS(D111-E111)*G111)</f>
        <v/>
      </c>
      <c r="K111" s="10" t="n"/>
      <c r="L111" s="13">
        <f>IF(OR(D111="",K111="",G111=""),"",IF(LOWER(C111)="short",(D111-K111)*G111,(K111-D111)*G111))</f>
        <v/>
      </c>
      <c r="M111" s="14">
        <f>IF(OR(L111="",J111="",J111=0),"",L111/J111)</f>
        <v/>
      </c>
      <c r="N111" s="9" t="n"/>
      <c r="O111" s="9" t="n"/>
      <c r="P111" s="9" t="n"/>
    </row>
    <row r="112">
      <c r="A112" s="8" t="n"/>
      <c r="B112" s="9" t="n"/>
      <c r="C112" s="9" t="n"/>
      <c r="D112" s="10" t="n"/>
      <c r="E112" s="10" t="n"/>
      <c r="F112" s="10" t="n"/>
      <c r="G112" s="9" t="n"/>
      <c r="H112" s="11" t="n"/>
      <c r="I112" s="12" t="n"/>
      <c r="J112" s="13">
        <f>IF(OR(D112="",E112="",G112=""),"",ABS(D112-E112)*G112)</f>
        <v/>
      </c>
      <c r="K112" s="10" t="n"/>
      <c r="L112" s="13">
        <f>IF(OR(D112="",K112="",G112=""),"",IF(LOWER(C112)="short",(D112-K112)*G112,(K112-D112)*G112))</f>
        <v/>
      </c>
      <c r="M112" s="14">
        <f>IF(OR(L112="",J112="",J112=0),"",L112/J112)</f>
        <v/>
      </c>
      <c r="N112" s="9" t="n"/>
      <c r="O112" s="9" t="n"/>
      <c r="P112" s="9" t="n"/>
    </row>
    <row r="113">
      <c r="A113" s="8" t="n"/>
      <c r="B113" s="9" t="n"/>
      <c r="C113" s="9" t="n"/>
      <c r="D113" s="10" t="n"/>
      <c r="E113" s="10" t="n"/>
      <c r="F113" s="10" t="n"/>
      <c r="G113" s="9" t="n"/>
      <c r="H113" s="11" t="n"/>
      <c r="I113" s="12" t="n"/>
      <c r="J113" s="13">
        <f>IF(OR(D113="",E113="",G113=""),"",ABS(D113-E113)*G113)</f>
        <v/>
      </c>
      <c r="K113" s="10" t="n"/>
      <c r="L113" s="13">
        <f>IF(OR(D113="",K113="",G113=""),"",IF(LOWER(C113)="short",(D113-K113)*G113,(K113-D113)*G113))</f>
        <v/>
      </c>
      <c r="M113" s="14">
        <f>IF(OR(L113="",J113="",J113=0),"",L113/J113)</f>
        <v/>
      </c>
      <c r="N113" s="9" t="n"/>
      <c r="O113" s="9" t="n"/>
      <c r="P113" s="9" t="n"/>
    </row>
    <row r="114">
      <c r="A114" s="8" t="n"/>
      <c r="B114" s="9" t="n"/>
      <c r="C114" s="9" t="n"/>
      <c r="D114" s="10" t="n"/>
      <c r="E114" s="10" t="n"/>
      <c r="F114" s="10" t="n"/>
      <c r="G114" s="9" t="n"/>
      <c r="H114" s="11" t="n"/>
      <c r="I114" s="12" t="n"/>
      <c r="J114" s="13">
        <f>IF(OR(D114="",E114="",G114=""),"",ABS(D114-E114)*G114)</f>
        <v/>
      </c>
      <c r="K114" s="10" t="n"/>
      <c r="L114" s="13">
        <f>IF(OR(D114="",K114="",G114=""),"",IF(LOWER(C114)="short",(D114-K114)*G114,(K114-D114)*G114))</f>
        <v/>
      </c>
      <c r="M114" s="14">
        <f>IF(OR(L114="",J114="",J114=0),"",L114/J114)</f>
        <v/>
      </c>
      <c r="N114" s="9" t="n"/>
      <c r="O114" s="9" t="n"/>
      <c r="P114" s="9" t="n"/>
    </row>
    <row r="115">
      <c r="A115" s="8" t="n"/>
      <c r="B115" s="9" t="n"/>
      <c r="C115" s="9" t="n"/>
      <c r="D115" s="10" t="n"/>
      <c r="E115" s="10" t="n"/>
      <c r="F115" s="10" t="n"/>
      <c r="G115" s="9" t="n"/>
      <c r="H115" s="11" t="n"/>
      <c r="I115" s="12" t="n"/>
      <c r="J115" s="13">
        <f>IF(OR(D115="",E115="",G115=""),"",ABS(D115-E115)*G115)</f>
        <v/>
      </c>
      <c r="K115" s="10" t="n"/>
      <c r="L115" s="13">
        <f>IF(OR(D115="",K115="",G115=""),"",IF(LOWER(C115)="short",(D115-K115)*G115,(K115-D115)*G115))</f>
        <v/>
      </c>
      <c r="M115" s="14">
        <f>IF(OR(L115="",J115="",J115=0),"",L115/J115)</f>
        <v/>
      </c>
      <c r="N115" s="9" t="n"/>
      <c r="O115" s="9" t="n"/>
      <c r="P115" s="9" t="n"/>
    </row>
    <row r="116">
      <c r="A116" s="8" t="n"/>
      <c r="B116" s="9" t="n"/>
      <c r="C116" s="9" t="n"/>
      <c r="D116" s="10" t="n"/>
      <c r="E116" s="10" t="n"/>
      <c r="F116" s="10" t="n"/>
      <c r="G116" s="9" t="n"/>
      <c r="H116" s="11" t="n"/>
      <c r="I116" s="12" t="n"/>
      <c r="J116" s="13">
        <f>IF(OR(D116="",E116="",G116=""),"",ABS(D116-E116)*G116)</f>
        <v/>
      </c>
      <c r="K116" s="10" t="n"/>
      <c r="L116" s="13">
        <f>IF(OR(D116="",K116="",G116=""),"",IF(LOWER(C116)="short",(D116-K116)*G116,(K116-D116)*G116))</f>
        <v/>
      </c>
      <c r="M116" s="14">
        <f>IF(OR(L116="",J116="",J116=0),"",L116/J116)</f>
        <v/>
      </c>
      <c r="N116" s="9" t="n"/>
      <c r="O116" s="9" t="n"/>
      <c r="P116" s="9" t="n"/>
    </row>
    <row r="117">
      <c r="A117" s="8" t="n"/>
      <c r="B117" s="9" t="n"/>
      <c r="C117" s="9" t="n"/>
      <c r="D117" s="10" t="n"/>
      <c r="E117" s="10" t="n"/>
      <c r="F117" s="10" t="n"/>
      <c r="G117" s="9" t="n"/>
      <c r="H117" s="11" t="n"/>
      <c r="I117" s="12" t="n"/>
      <c r="J117" s="13">
        <f>IF(OR(D117="",E117="",G117=""),"",ABS(D117-E117)*G117)</f>
        <v/>
      </c>
      <c r="K117" s="10" t="n"/>
      <c r="L117" s="13">
        <f>IF(OR(D117="",K117="",G117=""),"",IF(LOWER(C117)="short",(D117-K117)*G117,(K117-D117)*G117))</f>
        <v/>
      </c>
      <c r="M117" s="14">
        <f>IF(OR(L117="",J117="",J117=0),"",L117/J117)</f>
        <v/>
      </c>
      <c r="N117" s="9" t="n"/>
      <c r="O117" s="9" t="n"/>
      <c r="P117" s="9" t="n"/>
    </row>
    <row r="118">
      <c r="A118" s="8" t="n"/>
      <c r="B118" s="9" t="n"/>
      <c r="C118" s="9" t="n"/>
      <c r="D118" s="10" t="n"/>
      <c r="E118" s="10" t="n"/>
      <c r="F118" s="10" t="n"/>
      <c r="G118" s="9" t="n"/>
      <c r="H118" s="11" t="n"/>
      <c r="I118" s="12" t="n"/>
      <c r="J118" s="13">
        <f>IF(OR(D118="",E118="",G118=""),"",ABS(D118-E118)*G118)</f>
        <v/>
      </c>
      <c r="K118" s="10" t="n"/>
      <c r="L118" s="13">
        <f>IF(OR(D118="",K118="",G118=""),"",IF(LOWER(C118)="short",(D118-K118)*G118,(K118-D118)*G118))</f>
        <v/>
      </c>
      <c r="M118" s="14">
        <f>IF(OR(L118="",J118="",J118=0),"",L118/J118)</f>
        <v/>
      </c>
      <c r="N118" s="9" t="n"/>
      <c r="O118" s="9" t="n"/>
      <c r="P118" s="9" t="n"/>
    </row>
    <row r="119">
      <c r="A119" s="8" t="n"/>
      <c r="B119" s="9" t="n"/>
      <c r="C119" s="9" t="n"/>
      <c r="D119" s="10" t="n"/>
      <c r="E119" s="10" t="n"/>
      <c r="F119" s="10" t="n"/>
      <c r="G119" s="9" t="n"/>
      <c r="H119" s="11" t="n"/>
      <c r="I119" s="12" t="n"/>
      <c r="J119" s="13">
        <f>IF(OR(D119="",E119="",G119=""),"",ABS(D119-E119)*G119)</f>
        <v/>
      </c>
      <c r="K119" s="10" t="n"/>
      <c r="L119" s="13">
        <f>IF(OR(D119="",K119="",G119=""),"",IF(LOWER(C119)="short",(D119-K119)*G119,(K119-D119)*G119))</f>
        <v/>
      </c>
      <c r="M119" s="14">
        <f>IF(OR(L119="",J119="",J119=0),"",L119/J119)</f>
        <v/>
      </c>
      <c r="N119" s="9" t="n"/>
      <c r="O119" s="9" t="n"/>
      <c r="P119" s="9" t="n"/>
    </row>
    <row r="120">
      <c r="A120" s="8" t="n"/>
      <c r="B120" s="9" t="n"/>
      <c r="C120" s="9" t="n"/>
      <c r="D120" s="10" t="n"/>
      <c r="E120" s="10" t="n"/>
      <c r="F120" s="10" t="n"/>
      <c r="G120" s="9" t="n"/>
      <c r="H120" s="11" t="n"/>
      <c r="I120" s="12" t="n"/>
      <c r="J120" s="13">
        <f>IF(OR(D120="",E120="",G120=""),"",ABS(D120-E120)*G120)</f>
        <v/>
      </c>
      <c r="K120" s="10" t="n"/>
      <c r="L120" s="13">
        <f>IF(OR(D120="",K120="",G120=""),"",IF(LOWER(C120)="short",(D120-K120)*G120,(K120-D120)*G120))</f>
        <v/>
      </c>
      <c r="M120" s="14">
        <f>IF(OR(L120="",J120="",J120=0),"",L120/J120)</f>
        <v/>
      </c>
      <c r="N120" s="9" t="n"/>
      <c r="O120" s="9" t="n"/>
      <c r="P120" s="9" t="n"/>
    </row>
    <row r="121">
      <c r="A121" s="8" t="n"/>
      <c r="B121" s="9" t="n"/>
      <c r="C121" s="9" t="n"/>
      <c r="D121" s="10" t="n"/>
      <c r="E121" s="10" t="n"/>
      <c r="F121" s="10" t="n"/>
      <c r="G121" s="9" t="n"/>
      <c r="H121" s="11" t="n"/>
      <c r="I121" s="12" t="n"/>
      <c r="J121" s="13">
        <f>IF(OR(D121="",E121="",G121=""),"",ABS(D121-E121)*G121)</f>
        <v/>
      </c>
      <c r="K121" s="10" t="n"/>
      <c r="L121" s="13">
        <f>IF(OR(D121="",K121="",G121=""),"",IF(LOWER(C121)="short",(D121-K121)*G121,(K121-D121)*G121))</f>
        <v/>
      </c>
      <c r="M121" s="14">
        <f>IF(OR(L121="",J121="",J121=0),"",L121/J121)</f>
        <v/>
      </c>
      <c r="N121" s="9" t="n"/>
      <c r="O121" s="9" t="n"/>
      <c r="P121" s="9" t="n"/>
    </row>
    <row r="122">
      <c r="A122" s="8" t="n"/>
      <c r="B122" s="9" t="n"/>
      <c r="C122" s="9" t="n"/>
      <c r="D122" s="10" t="n"/>
      <c r="E122" s="10" t="n"/>
      <c r="F122" s="10" t="n"/>
      <c r="G122" s="9" t="n"/>
      <c r="H122" s="11" t="n"/>
      <c r="I122" s="12" t="n"/>
      <c r="J122" s="13">
        <f>IF(OR(D122="",E122="",G122=""),"",ABS(D122-E122)*G122)</f>
        <v/>
      </c>
      <c r="K122" s="10" t="n"/>
      <c r="L122" s="13">
        <f>IF(OR(D122="",K122="",G122=""),"",IF(LOWER(C122)="short",(D122-K122)*G122,(K122-D122)*G122))</f>
        <v/>
      </c>
      <c r="M122" s="14">
        <f>IF(OR(L122="",J122="",J122=0),"",L122/J122)</f>
        <v/>
      </c>
      <c r="N122" s="9" t="n"/>
      <c r="O122" s="9" t="n"/>
      <c r="P122" s="9" t="n"/>
    </row>
    <row r="123">
      <c r="A123" s="8" t="n"/>
      <c r="B123" s="9" t="n"/>
      <c r="C123" s="9" t="n"/>
      <c r="D123" s="10" t="n"/>
      <c r="E123" s="10" t="n"/>
      <c r="F123" s="10" t="n"/>
      <c r="G123" s="9" t="n"/>
      <c r="H123" s="11" t="n"/>
      <c r="I123" s="12" t="n"/>
      <c r="J123" s="13">
        <f>IF(OR(D123="",E123="",G123=""),"",ABS(D123-E123)*G123)</f>
        <v/>
      </c>
      <c r="K123" s="10" t="n"/>
      <c r="L123" s="13">
        <f>IF(OR(D123="",K123="",G123=""),"",IF(LOWER(C123)="short",(D123-K123)*G123,(K123-D123)*G123))</f>
        <v/>
      </c>
      <c r="M123" s="14">
        <f>IF(OR(L123="",J123="",J123=0),"",L123/J123)</f>
        <v/>
      </c>
      <c r="N123" s="9" t="n"/>
      <c r="O123" s="9" t="n"/>
      <c r="P123" s="9" t="n"/>
    </row>
    <row r="124">
      <c r="A124" s="8" t="n"/>
      <c r="B124" s="9" t="n"/>
      <c r="C124" s="9" t="n"/>
      <c r="D124" s="10" t="n"/>
      <c r="E124" s="10" t="n"/>
      <c r="F124" s="10" t="n"/>
      <c r="G124" s="9" t="n"/>
      <c r="H124" s="11" t="n"/>
      <c r="I124" s="12" t="n"/>
      <c r="J124" s="13">
        <f>IF(OR(D124="",E124="",G124=""),"",ABS(D124-E124)*G124)</f>
        <v/>
      </c>
      <c r="K124" s="10" t="n"/>
      <c r="L124" s="13">
        <f>IF(OR(D124="",K124="",G124=""),"",IF(LOWER(C124)="short",(D124-K124)*G124,(K124-D124)*G124))</f>
        <v/>
      </c>
      <c r="M124" s="14">
        <f>IF(OR(L124="",J124="",J124=0),"",L124/J124)</f>
        <v/>
      </c>
      <c r="N124" s="9" t="n"/>
      <c r="O124" s="9" t="n"/>
      <c r="P124" s="9" t="n"/>
    </row>
    <row r="125">
      <c r="A125" s="8" t="n"/>
      <c r="B125" s="9" t="n"/>
      <c r="C125" s="9" t="n"/>
      <c r="D125" s="10" t="n"/>
      <c r="E125" s="10" t="n"/>
      <c r="F125" s="10" t="n"/>
      <c r="G125" s="9" t="n"/>
      <c r="H125" s="11" t="n"/>
      <c r="I125" s="12" t="n"/>
      <c r="J125" s="13">
        <f>IF(OR(D125="",E125="",G125=""),"",ABS(D125-E125)*G125)</f>
        <v/>
      </c>
      <c r="K125" s="10" t="n"/>
      <c r="L125" s="13">
        <f>IF(OR(D125="",K125="",G125=""),"",IF(LOWER(C125)="short",(D125-K125)*G125,(K125-D125)*G125))</f>
        <v/>
      </c>
      <c r="M125" s="14">
        <f>IF(OR(L125="",J125="",J125=0),"",L125/J125)</f>
        <v/>
      </c>
      <c r="N125" s="9" t="n"/>
      <c r="O125" s="9" t="n"/>
      <c r="P125" s="9" t="n"/>
    </row>
    <row r="126">
      <c r="A126" s="8" t="n"/>
      <c r="B126" s="9" t="n"/>
      <c r="C126" s="9" t="n"/>
      <c r="D126" s="10" t="n"/>
      <c r="E126" s="10" t="n"/>
      <c r="F126" s="10" t="n"/>
      <c r="G126" s="9" t="n"/>
      <c r="H126" s="11" t="n"/>
      <c r="I126" s="12" t="n"/>
      <c r="J126" s="13">
        <f>IF(OR(D126="",E126="",G126=""),"",ABS(D126-E126)*G126)</f>
        <v/>
      </c>
      <c r="K126" s="10" t="n"/>
      <c r="L126" s="13">
        <f>IF(OR(D126="",K126="",G126=""),"",IF(LOWER(C126)="short",(D126-K126)*G126,(K126-D126)*G126))</f>
        <v/>
      </c>
      <c r="M126" s="14">
        <f>IF(OR(L126="",J126="",J126=0),"",L126/J126)</f>
        <v/>
      </c>
      <c r="N126" s="9" t="n"/>
      <c r="O126" s="9" t="n"/>
      <c r="P126" s="9" t="n"/>
    </row>
    <row r="127">
      <c r="A127" s="8" t="n"/>
      <c r="B127" s="9" t="n"/>
      <c r="C127" s="9" t="n"/>
      <c r="D127" s="10" t="n"/>
      <c r="E127" s="10" t="n"/>
      <c r="F127" s="10" t="n"/>
      <c r="G127" s="9" t="n"/>
      <c r="H127" s="11" t="n"/>
      <c r="I127" s="12" t="n"/>
      <c r="J127" s="13">
        <f>IF(OR(D127="",E127="",G127=""),"",ABS(D127-E127)*G127)</f>
        <v/>
      </c>
      <c r="K127" s="10" t="n"/>
      <c r="L127" s="13">
        <f>IF(OR(D127="",K127="",G127=""),"",IF(LOWER(C127)="short",(D127-K127)*G127,(K127-D127)*G127))</f>
        <v/>
      </c>
      <c r="M127" s="14">
        <f>IF(OR(L127="",J127="",J127=0),"",L127/J127)</f>
        <v/>
      </c>
      <c r="N127" s="9" t="n"/>
      <c r="O127" s="9" t="n"/>
      <c r="P127" s="9" t="n"/>
    </row>
    <row r="128">
      <c r="A128" s="8" t="n"/>
      <c r="B128" s="9" t="n"/>
      <c r="C128" s="9" t="n"/>
      <c r="D128" s="10" t="n"/>
      <c r="E128" s="10" t="n"/>
      <c r="F128" s="10" t="n"/>
      <c r="G128" s="9" t="n"/>
      <c r="H128" s="11" t="n"/>
      <c r="I128" s="12" t="n"/>
      <c r="J128" s="13">
        <f>IF(OR(D128="",E128="",G128=""),"",ABS(D128-E128)*G128)</f>
        <v/>
      </c>
      <c r="K128" s="10" t="n"/>
      <c r="L128" s="13">
        <f>IF(OR(D128="",K128="",G128=""),"",IF(LOWER(C128)="short",(D128-K128)*G128,(K128-D128)*G128))</f>
        <v/>
      </c>
      <c r="M128" s="14">
        <f>IF(OR(L128="",J128="",J128=0),"",L128/J128)</f>
        <v/>
      </c>
      <c r="N128" s="9" t="n"/>
      <c r="O128" s="9" t="n"/>
      <c r="P128" s="9" t="n"/>
    </row>
    <row r="129">
      <c r="A129" s="8" t="n"/>
      <c r="B129" s="9" t="n"/>
      <c r="C129" s="9" t="n"/>
      <c r="D129" s="10" t="n"/>
      <c r="E129" s="10" t="n"/>
      <c r="F129" s="10" t="n"/>
      <c r="G129" s="9" t="n"/>
      <c r="H129" s="11" t="n"/>
      <c r="I129" s="12" t="n"/>
      <c r="J129" s="13">
        <f>IF(OR(D129="",E129="",G129=""),"",ABS(D129-E129)*G129)</f>
        <v/>
      </c>
      <c r="K129" s="10" t="n"/>
      <c r="L129" s="13">
        <f>IF(OR(D129="",K129="",G129=""),"",IF(LOWER(C129)="short",(D129-K129)*G129,(K129-D129)*G129))</f>
        <v/>
      </c>
      <c r="M129" s="14">
        <f>IF(OR(L129="",J129="",J129=0),"",L129/J129)</f>
        <v/>
      </c>
      <c r="N129" s="9" t="n"/>
      <c r="O129" s="9" t="n"/>
      <c r="P129" s="9" t="n"/>
    </row>
    <row r="130">
      <c r="A130" s="8" t="n"/>
      <c r="B130" s="9" t="n"/>
      <c r="C130" s="9" t="n"/>
      <c r="D130" s="10" t="n"/>
      <c r="E130" s="10" t="n"/>
      <c r="F130" s="10" t="n"/>
      <c r="G130" s="9" t="n"/>
      <c r="H130" s="11" t="n"/>
      <c r="I130" s="12" t="n"/>
      <c r="J130" s="13">
        <f>IF(OR(D130="",E130="",G130=""),"",ABS(D130-E130)*G130)</f>
        <v/>
      </c>
      <c r="K130" s="10" t="n"/>
      <c r="L130" s="13">
        <f>IF(OR(D130="",K130="",G130=""),"",IF(LOWER(C130)="short",(D130-K130)*G130,(K130-D130)*G130))</f>
        <v/>
      </c>
      <c r="M130" s="14">
        <f>IF(OR(L130="",J130="",J130=0),"",L130/J130)</f>
        <v/>
      </c>
      <c r="N130" s="9" t="n"/>
      <c r="O130" s="9" t="n"/>
      <c r="P130" s="9" t="n"/>
    </row>
    <row r="131">
      <c r="A131" s="8" t="n"/>
      <c r="B131" s="9" t="n"/>
      <c r="C131" s="9" t="n"/>
      <c r="D131" s="10" t="n"/>
      <c r="E131" s="10" t="n"/>
      <c r="F131" s="10" t="n"/>
      <c r="G131" s="9" t="n"/>
      <c r="H131" s="11" t="n"/>
      <c r="I131" s="12" t="n"/>
      <c r="J131" s="13">
        <f>IF(OR(D131="",E131="",G131=""),"",ABS(D131-E131)*G131)</f>
        <v/>
      </c>
      <c r="K131" s="10" t="n"/>
      <c r="L131" s="13">
        <f>IF(OR(D131="",K131="",G131=""),"",IF(LOWER(C131)="short",(D131-K131)*G131,(K131-D131)*G131))</f>
        <v/>
      </c>
      <c r="M131" s="14">
        <f>IF(OR(L131="",J131="",J131=0),"",L131/J131)</f>
        <v/>
      </c>
      <c r="N131" s="9" t="n"/>
      <c r="O131" s="9" t="n"/>
      <c r="P131" s="9" t="n"/>
    </row>
    <row r="132">
      <c r="A132" s="8" t="n"/>
      <c r="B132" s="9" t="n"/>
      <c r="C132" s="9" t="n"/>
      <c r="D132" s="10" t="n"/>
      <c r="E132" s="10" t="n"/>
      <c r="F132" s="10" t="n"/>
      <c r="G132" s="9" t="n"/>
      <c r="H132" s="11" t="n"/>
      <c r="I132" s="12" t="n"/>
      <c r="J132" s="13">
        <f>IF(OR(D132="",E132="",G132=""),"",ABS(D132-E132)*G132)</f>
        <v/>
      </c>
      <c r="K132" s="10" t="n"/>
      <c r="L132" s="13">
        <f>IF(OR(D132="",K132="",G132=""),"",IF(LOWER(C132)="short",(D132-K132)*G132,(K132-D132)*G132))</f>
        <v/>
      </c>
      <c r="M132" s="14">
        <f>IF(OR(L132="",J132="",J132=0),"",L132/J132)</f>
        <v/>
      </c>
      <c r="N132" s="9" t="n"/>
      <c r="O132" s="9" t="n"/>
      <c r="P132" s="9" t="n"/>
    </row>
    <row r="133">
      <c r="A133" s="8" t="n"/>
      <c r="B133" s="9" t="n"/>
      <c r="C133" s="9" t="n"/>
      <c r="D133" s="10" t="n"/>
      <c r="E133" s="10" t="n"/>
      <c r="F133" s="10" t="n"/>
      <c r="G133" s="9" t="n"/>
      <c r="H133" s="11" t="n"/>
      <c r="I133" s="12" t="n"/>
      <c r="J133" s="13">
        <f>IF(OR(D133="",E133="",G133=""),"",ABS(D133-E133)*G133)</f>
        <v/>
      </c>
      <c r="K133" s="10" t="n"/>
      <c r="L133" s="13">
        <f>IF(OR(D133="",K133="",G133=""),"",IF(LOWER(C133)="short",(D133-K133)*G133,(K133-D133)*G133))</f>
        <v/>
      </c>
      <c r="M133" s="14">
        <f>IF(OR(L133="",J133="",J133=0),"",L133/J133)</f>
        <v/>
      </c>
      <c r="N133" s="9" t="n"/>
      <c r="O133" s="9" t="n"/>
      <c r="P133" s="9" t="n"/>
    </row>
    <row r="134">
      <c r="A134" s="8" t="n"/>
      <c r="B134" s="9" t="n"/>
      <c r="C134" s="9" t="n"/>
      <c r="D134" s="10" t="n"/>
      <c r="E134" s="10" t="n"/>
      <c r="F134" s="10" t="n"/>
      <c r="G134" s="9" t="n"/>
      <c r="H134" s="11" t="n"/>
      <c r="I134" s="12" t="n"/>
      <c r="J134" s="13">
        <f>IF(OR(D134="",E134="",G134=""),"",ABS(D134-E134)*G134)</f>
        <v/>
      </c>
      <c r="K134" s="10" t="n"/>
      <c r="L134" s="13">
        <f>IF(OR(D134="",K134="",G134=""),"",IF(LOWER(C134)="short",(D134-K134)*G134,(K134-D134)*G134))</f>
        <v/>
      </c>
      <c r="M134" s="14">
        <f>IF(OR(L134="",J134="",J134=0),"",L134/J134)</f>
        <v/>
      </c>
      <c r="N134" s="9" t="n"/>
      <c r="O134" s="9" t="n"/>
      <c r="P134" s="9" t="n"/>
    </row>
    <row r="135">
      <c r="A135" s="8" t="n"/>
      <c r="B135" s="9" t="n"/>
      <c r="C135" s="9" t="n"/>
      <c r="D135" s="10" t="n"/>
      <c r="E135" s="10" t="n"/>
      <c r="F135" s="10" t="n"/>
      <c r="G135" s="9" t="n"/>
      <c r="H135" s="11" t="n"/>
      <c r="I135" s="12" t="n"/>
      <c r="J135" s="13">
        <f>IF(OR(D135="",E135="",G135=""),"",ABS(D135-E135)*G135)</f>
        <v/>
      </c>
      <c r="K135" s="10" t="n"/>
      <c r="L135" s="13">
        <f>IF(OR(D135="",K135="",G135=""),"",IF(LOWER(C135)="short",(D135-K135)*G135,(K135-D135)*G135))</f>
        <v/>
      </c>
      <c r="M135" s="14">
        <f>IF(OR(L135="",J135="",J135=0),"",L135/J135)</f>
        <v/>
      </c>
      <c r="N135" s="9" t="n"/>
      <c r="O135" s="9" t="n"/>
      <c r="P135" s="9" t="n"/>
    </row>
    <row r="136">
      <c r="A136" s="8" t="n"/>
      <c r="B136" s="9" t="n"/>
      <c r="C136" s="9" t="n"/>
      <c r="D136" s="10" t="n"/>
      <c r="E136" s="10" t="n"/>
      <c r="F136" s="10" t="n"/>
      <c r="G136" s="9" t="n"/>
      <c r="H136" s="11" t="n"/>
      <c r="I136" s="12" t="n"/>
      <c r="J136" s="13">
        <f>IF(OR(D136="",E136="",G136=""),"",ABS(D136-E136)*G136)</f>
        <v/>
      </c>
      <c r="K136" s="10" t="n"/>
      <c r="L136" s="13">
        <f>IF(OR(D136="",K136="",G136=""),"",IF(LOWER(C136)="short",(D136-K136)*G136,(K136-D136)*G136))</f>
        <v/>
      </c>
      <c r="M136" s="14">
        <f>IF(OR(L136="",J136="",J136=0),"",L136/J136)</f>
        <v/>
      </c>
      <c r="N136" s="9" t="n"/>
      <c r="O136" s="9" t="n"/>
      <c r="P136" s="9" t="n"/>
    </row>
    <row r="137">
      <c r="A137" s="8" t="n"/>
      <c r="B137" s="9" t="n"/>
      <c r="C137" s="9" t="n"/>
      <c r="D137" s="10" t="n"/>
      <c r="E137" s="10" t="n"/>
      <c r="F137" s="10" t="n"/>
      <c r="G137" s="9" t="n"/>
      <c r="H137" s="11" t="n"/>
      <c r="I137" s="12" t="n"/>
      <c r="J137" s="13">
        <f>IF(OR(D137="",E137="",G137=""),"",ABS(D137-E137)*G137)</f>
        <v/>
      </c>
      <c r="K137" s="10" t="n"/>
      <c r="L137" s="13">
        <f>IF(OR(D137="",K137="",G137=""),"",IF(LOWER(C137)="short",(D137-K137)*G137,(K137-D137)*G137))</f>
        <v/>
      </c>
      <c r="M137" s="14">
        <f>IF(OR(L137="",J137="",J137=0),"",L137/J137)</f>
        <v/>
      </c>
      <c r="N137" s="9" t="n"/>
      <c r="O137" s="9" t="n"/>
      <c r="P137" s="9" t="n"/>
    </row>
    <row r="138">
      <c r="A138" s="8" t="n"/>
      <c r="B138" s="9" t="n"/>
      <c r="C138" s="9" t="n"/>
      <c r="D138" s="10" t="n"/>
      <c r="E138" s="10" t="n"/>
      <c r="F138" s="10" t="n"/>
      <c r="G138" s="9" t="n"/>
      <c r="H138" s="11" t="n"/>
      <c r="I138" s="12" t="n"/>
      <c r="J138" s="13">
        <f>IF(OR(D138="",E138="",G138=""),"",ABS(D138-E138)*G138)</f>
        <v/>
      </c>
      <c r="K138" s="10" t="n"/>
      <c r="L138" s="13">
        <f>IF(OR(D138="",K138="",G138=""),"",IF(LOWER(C138)="short",(D138-K138)*G138,(K138-D138)*G138))</f>
        <v/>
      </c>
      <c r="M138" s="14">
        <f>IF(OR(L138="",J138="",J138=0),"",L138/J138)</f>
        <v/>
      </c>
      <c r="N138" s="9" t="n"/>
      <c r="O138" s="9" t="n"/>
      <c r="P138" s="9" t="n"/>
    </row>
    <row r="139">
      <c r="A139" s="8" t="n"/>
      <c r="B139" s="9" t="n"/>
      <c r="C139" s="9" t="n"/>
      <c r="D139" s="10" t="n"/>
      <c r="E139" s="10" t="n"/>
      <c r="F139" s="10" t="n"/>
      <c r="G139" s="9" t="n"/>
      <c r="H139" s="11" t="n"/>
      <c r="I139" s="12" t="n"/>
      <c r="J139" s="13">
        <f>IF(OR(D139="",E139="",G139=""),"",ABS(D139-E139)*G139)</f>
        <v/>
      </c>
      <c r="K139" s="10" t="n"/>
      <c r="L139" s="13">
        <f>IF(OR(D139="",K139="",G139=""),"",IF(LOWER(C139)="short",(D139-K139)*G139,(K139-D139)*G139))</f>
        <v/>
      </c>
      <c r="M139" s="14">
        <f>IF(OR(L139="",J139="",J139=0),"",L139/J139)</f>
        <v/>
      </c>
      <c r="N139" s="9" t="n"/>
      <c r="O139" s="9" t="n"/>
      <c r="P139" s="9" t="n"/>
    </row>
    <row r="140">
      <c r="A140" s="8" t="n"/>
      <c r="B140" s="9" t="n"/>
      <c r="C140" s="9" t="n"/>
      <c r="D140" s="10" t="n"/>
      <c r="E140" s="10" t="n"/>
      <c r="F140" s="10" t="n"/>
      <c r="G140" s="9" t="n"/>
      <c r="H140" s="11" t="n"/>
      <c r="I140" s="12" t="n"/>
      <c r="J140" s="13">
        <f>IF(OR(D140="",E140="",G140=""),"",ABS(D140-E140)*G140)</f>
        <v/>
      </c>
      <c r="K140" s="10" t="n"/>
      <c r="L140" s="13">
        <f>IF(OR(D140="",K140="",G140=""),"",IF(LOWER(C140)="short",(D140-K140)*G140,(K140-D140)*G140))</f>
        <v/>
      </c>
      <c r="M140" s="14">
        <f>IF(OR(L140="",J140="",J140=0),"",L140/J140)</f>
        <v/>
      </c>
      <c r="N140" s="9" t="n"/>
      <c r="O140" s="9" t="n"/>
      <c r="P140" s="9" t="n"/>
    </row>
    <row r="141">
      <c r="A141" s="8" t="n"/>
      <c r="B141" s="9" t="n"/>
      <c r="C141" s="9" t="n"/>
      <c r="D141" s="10" t="n"/>
      <c r="E141" s="10" t="n"/>
      <c r="F141" s="10" t="n"/>
      <c r="G141" s="9" t="n"/>
      <c r="H141" s="11" t="n"/>
      <c r="I141" s="12" t="n"/>
      <c r="J141" s="13">
        <f>IF(OR(D141="",E141="",G141=""),"",ABS(D141-E141)*G141)</f>
        <v/>
      </c>
      <c r="K141" s="10" t="n"/>
      <c r="L141" s="13">
        <f>IF(OR(D141="",K141="",G141=""),"",IF(LOWER(C141)="short",(D141-K141)*G141,(K141-D141)*G141))</f>
        <v/>
      </c>
      <c r="M141" s="14">
        <f>IF(OR(L141="",J141="",J141=0),"",L141/J141)</f>
        <v/>
      </c>
      <c r="N141" s="9" t="n"/>
      <c r="O141" s="9" t="n"/>
      <c r="P141" s="9" t="n"/>
    </row>
    <row r="142">
      <c r="A142" s="8" t="n"/>
      <c r="B142" s="9" t="n"/>
      <c r="C142" s="9" t="n"/>
      <c r="D142" s="10" t="n"/>
      <c r="E142" s="10" t="n"/>
      <c r="F142" s="10" t="n"/>
      <c r="G142" s="9" t="n"/>
      <c r="H142" s="11" t="n"/>
      <c r="I142" s="12" t="n"/>
      <c r="J142" s="13">
        <f>IF(OR(D142="",E142="",G142=""),"",ABS(D142-E142)*G142)</f>
        <v/>
      </c>
      <c r="K142" s="10" t="n"/>
      <c r="L142" s="13">
        <f>IF(OR(D142="",K142="",G142=""),"",IF(LOWER(C142)="short",(D142-K142)*G142,(K142-D142)*G142))</f>
        <v/>
      </c>
      <c r="M142" s="14">
        <f>IF(OR(L142="",J142="",J142=0),"",L142/J142)</f>
        <v/>
      </c>
      <c r="N142" s="9" t="n"/>
      <c r="O142" s="9" t="n"/>
      <c r="P142" s="9" t="n"/>
    </row>
    <row r="143">
      <c r="A143" s="8" t="n"/>
      <c r="B143" s="9" t="n"/>
      <c r="C143" s="9" t="n"/>
      <c r="D143" s="10" t="n"/>
      <c r="E143" s="10" t="n"/>
      <c r="F143" s="10" t="n"/>
      <c r="G143" s="9" t="n"/>
      <c r="H143" s="11" t="n"/>
      <c r="I143" s="12" t="n"/>
      <c r="J143" s="13">
        <f>IF(OR(D143="",E143="",G143=""),"",ABS(D143-E143)*G143)</f>
        <v/>
      </c>
      <c r="K143" s="10" t="n"/>
      <c r="L143" s="13">
        <f>IF(OR(D143="",K143="",G143=""),"",IF(LOWER(C143)="short",(D143-K143)*G143,(K143-D143)*G143))</f>
        <v/>
      </c>
      <c r="M143" s="14">
        <f>IF(OR(L143="",J143="",J143=0),"",L143/J143)</f>
        <v/>
      </c>
      <c r="N143" s="9" t="n"/>
      <c r="O143" s="9" t="n"/>
      <c r="P143" s="9" t="n"/>
    </row>
    <row r="144">
      <c r="A144" s="8" t="n"/>
      <c r="B144" s="9" t="n"/>
      <c r="C144" s="9" t="n"/>
      <c r="D144" s="10" t="n"/>
      <c r="E144" s="10" t="n"/>
      <c r="F144" s="10" t="n"/>
      <c r="G144" s="9" t="n"/>
      <c r="H144" s="11" t="n"/>
      <c r="I144" s="12" t="n"/>
      <c r="J144" s="13">
        <f>IF(OR(D144="",E144="",G144=""),"",ABS(D144-E144)*G144)</f>
        <v/>
      </c>
      <c r="K144" s="10" t="n"/>
      <c r="L144" s="13">
        <f>IF(OR(D144="",K144="",G144=""),"",IF(LOWER(C144)="short",(D144-K144)*G144,(K144-D144)*G144))</f>
        <v/>
      </c>
      <c r="M144" s="14">
        <f>IF(OR(L144="",J144="",J144=0),"",L144/J144)</f>
        <v/>
      </c>
      <c r="N144" s="9" t="n"/>
      <c r="O144" s="9" t="n"/>
      <c r="P144" s="9" t="n"/>
    </row>
    <row r="145">
      <c r="A145" s="8" t="n"/>
      <c r="B145" s="9" t="n"/>
      <c r="C145" s="9" t="n"/>
      <c r="D145" s="10" t="n"/>
      <c r="E145" s="10" t="n"/>
      <c r="F145" s="10" t="n"/>
      <c r="G145" s="9" t="n"/>
      <c r="H145" s="11" t="n"/>
      <c r="I145" s="12" t="n"/>
      <c r="J145" s="13">
        <f>IF(OR(D145="",E145="",G145=""),"",ABS(D145-E145)*G145)</f>
        <v/>
      </c>
      <c r="K145" s="10" t="n"/>
      <c r="L145" s="13">
        <f>IF(OR(D145="",K145="",G145=""),"",IF(LOWER(C145)="short",(D145-K145)*G145,(K145-D145)*G145))</f>
        <v/>
      </c>
      <c r="M145" s="14">
        <f>IF(OR(L145="",J145="",J145=0),"",L145/J145)</f>
        <v/>
      </c>
      <c r="N145" s="9" t="n"/>
      <c r="O145" s="9" t="n"/>
      <c r="P145" s="9" t="n"/>
    </row>
    <row r="146">
      <c r="A146" s="8" t="n"/>
      <c r="B146" s="9" t="n"/>
      <c r="C146" s="9" t="n"/>
      <c r="D146" s="10" t="n"/>
      <c r="E146" s="10" t="n"/>
      <c r="F146" s="10" t="n"/>
      <c r="G146" s="9" t="n"/>
      <c r="H146" s="11" t="n"/>
      <c r="I146" s="12" t="n"/>
      <c r="J146" s="13">
        <f>IF(OR(D146="",E146="",G146=""),"",ABS(D146-E146)*G146)</f>
        <v/>
      </c>
      <c r="K146" s="10" t="n"/>
      <c r="L146" s="13">
        <f>IF(OR(D146="",K146="",G146=""),"",IF(LOWER(C146)="short",(D146-K146)*G146,(K146-D146)*G146))</f>
        <v/>
      </c>
      <c r="M146" s="14">
        <f>IF(OR(L146="",J146="",J146=0),"",L146/J146)</f>
        <v/>
      </c>
      <c r="N146" s="9" t="n"/>
      <c r="O146" s="9" t="n"/>
      <c r="P146" s="9" t="n"/>
    </row>
    <row r="147">
      <c r="A147" s="8" t="n"/>
      <c r="B147" s="9" t="n"/>
      <c r="C147" s="9" t="n"/>
      <c r="D147" s="10" t="n"/>
      <c r="E147" s="10" t="n"/>
      <c r="F147" s="10" t="n"/>
      <c r="G147" s="9" t="n"/>
      <c r="H147" s="11" t="n"/>
      <c r="I147" s="12" t="n"/>
      <c r="J147" s="13">
        <f>IF(OR(D147="",E147="",G147=""),"",ABS(D147-E147)*G147)</f>
        <v/>
      </c>
      <c r="K147" s="10" t="n"/>
      <c r="L147" s="13">
        <f>IF(OR(D147="",K147="",G147=""),"",IF(LOWER(C147)="short",(D147-K147)*G147,(K147-D147)*G147))</f>
        <v/>
      </c>
      <c r="M147" s="14">
        <f>IF(OR(L147="",J147="",J147=0),"",L147/J147)</f>
        <v/>
      </c>
      <c r="N147" s="9" t="n"/>
      <c r="O147" s="9" t="n"/>
      <c r="P147" s="9" t="n"/>
    </row>
    <row r="148">
      <c r="A148" s="8" t="n"/>
      <c r="B148" s="9" t="n"/>
      <c r="C148" s="9" t="n"/>
      <c r="D148" s="10" t="n"/>
      <c r="E148" s="10" t="n"/>
      <c r="F148" s="10" t="n"/>
      <c r="G148" s="9" t="n"/>
      <c r="H148" s="11" t="n"/>
      <c r="I148" s="12" t="n"/>
      <c r="J148" s="13">
        <f>IF(OR(D148="",E148="",G148=""),"",ABS(D148-E148)*G148)</f>
        <v/>
      </c>
      <c r="K148" s="10" t="n"/>
      <c r="L148" s="13">
        <f>IF(OR(D148="",K148="",G148=""),"",IF(LOWER(C148)="short",(D148-K148)*G148,(K148-D148)*G148))</f>
        <v/>
      </c>
      <c r="M148" s="14">
        <f>IF(OR(L148="",J148="",J148=0),"",L148/J148)</f>
        <v/>
      </c>
      <c r="N148" s="9" t="n"/>
      <c r="O148" s="9" t="n"/>
      <c r="P148" s="9" t="n"/>
    </row>
    <row r="149">
      <c r="A149" s="8" t="n"/>
      <c r="B149" s="9" t="n"/>
      <c r="C149" s="9" t="n"/>
      <c r="D149" s="10" t="n"/>
      <c r="E149" s="10" t="n"/>
      <c r="F149" s="10" t="n"/>
      <c r="G149" s="9" t="n"/>
      <c r="H149" s="11" t="n"/>
      <c r="I149" s="12" t="n"/>
      <c r="J149" s="13">
        <f>IF(OR(D149="",E149="",G149=""),"",ABS(D149-E149)*G149)</f>
        <v/>
      </c>
      <c r="K149" s="10" t="n"/>
      <c r="L149" s="13">
        <f>IF(OR(D149="",K149="",G149=""),"",IF(LOWER(C149)="short",(D149-K149)*G149,(K149-D149)*G149))</f>
        <v/>
      </c>
      <c r="M149" s="14">
        <f>IF(OR(L149="",J149="",J149=0),"",L149/J149)</f>
        <v/>
      </c>
      <c r="N149" s="9" t="n"/>
      <c r="O149" s="9" t="n"/>
      <c r="P149" s="9" t="n"/>
    </row>
    <row r="150">
      <c r="A150" s="8" t="n"/>
      <c r="B150" s="9" t="n"/>
      <c r="C150" s="9" t="n"/>
      <c r="D150" s="10" t="n"/>
      <c r="E150" s="10" t="n"/>
      <c r="F150" s="10" t="n"/>
      <c r="G150" s="9" t="n"/>
      <c r="H150" s="11" t="n"/>
      <c r="I150" s="12" t="n"/>
      <c r="J150" s="13">
        <f>IF(OR(D150="",E150="",G150=""),"",ABS(D150-E150)*G150)</f>
        <v/>
      </c>
      <c r="K150" s="10" t="n"/>
      <c r="L150" s="13">
        <f>IF(OR(D150="",K150="",G150=""),"",IF(LOWER(C150)="short",(D150-K150)*G150,(K150-D150)*G150))</f>
        <v/>
      </c>
      <c r="M150" s="14">
        <f>IF(OR(L150="",J150="",J150=0),"",L150/J150)</f>
        <v/>
      </c>
      <c r="N150" s="9" t="n"/>
      <c r="O150" s="9" t="n"/>
      <c r="P150" s="9" t="n"/>
    </row>
    <row r="151">
      <c r="A151" s="8" t="n"/>
      <c r="B151" s="9" t="n"/>
      <c r="C151" s="9" t="n"/>
      <c r="D151" s="10" t="n"/>
      <c r="E151" s="10" t="n"/>
      <c r="F151" s="10" t="n"/>
      <c r="G151" s="9" t="n"/>
      <c r="H151" s="11" t="n"/>
      <c r="I151" s="12" t="n"/>
      <c r="J151" s="13">
        <f>IF(OR(D151="",E151="",G151=""),"",ABS(D151-E151)*G151)</f>
        <v/>
      </c>
      <c r="K151" s="10" t="n"/>
      <c r="L151" s="13">
        <f>IF(OR(D151="",K151="",G151=""),"",IF(LOWER(C151)="short",(D151-K151)*G151,(K151-D151)*G151))</f>
        <v/>
      </c>
      <c r="M151" s="14">
        <f>IF(OR(L151="",J151="",J151=0),"",L151/J151)</f>
        <v/>
      </c>
      <c r="N151" s="9" t="n"/>
      <c r="O151" s="9" t="n"/>
      <c r="P151" s="9" t="n"/>
    </row>
    <row r="152">
      <c r="A152" s="8" t="n"/>
      <c r="B152" s="9" t="n"/>
      <c r="C152" s="9" t="n"/>
      <c r="D152" s="10" t="n"/>
      <c r="E152" s="10" t="n"/>
      <c r="F152" s="10" t="n"/>
      <c r="G152" s="9" t="n"/>
      <c r="H152" s="11" t="n"/>
      <c r="I152" s="12" t="n"/>
      <c r="J152" s="13">
        <f>IF(OR(D152="",E152="",G152=""),"",ABS(D152-E152)*G152)</f>
        <v/>
      </c>
      <c r="K152" s="10" t="n"/>
      <c r="L152" s="13">
        <f>IF(OR(D152="",K152="",G152=""),"",IF(LOWER(C152)="short",(D152-K152)*G152,(K152-D152)*G152))</f>
        <v/>
      </c>
      <c r="M152" s="14">
        <f>IF(OR(L152="",J152="",J152=0),"",L152/J152)</f>
        <v/>
      </c>
      <c r="N152" s="9" t="n"/>
      <c r="O152" s="9" t="n"/>
      <c r="P152" s="9" t="n"/>
    </row>
    <row r="153">
      <c r="A153" s="8" t="n"/>
      <c r="B153" s="9" t="n"/>
      <c r="C153" s="9" t="n"/>
      <c r="D153" s="10" t="n"/>
      <c r="E153" s="10" t="n"/>
      <c r="F153" s="10" t="n"/>
      <c r="G153" s="9" t="n"/>
      <c r="H153" s="11" t="n"/>
      <c r="I153" s="12" t="n"/>
      <c r="J153" s="13">
        <f>IF(OR(D153="",E153="",G153=""),"",ABS(D153-E153)*G153)</f>
        <v/>
      </c>
      <c r="K153" s="10" t="n"/>
      <c r="L153" s="13">
        <f>IF(OR(D153="",K153="",G153=""),"",IF(LOWER(C153)="short",(D153-K153)*G153,(K153-D153)*G153))</f>
        <v/>
      </c>
      <c r="M153" s="14">
        <f>IF(OR(L153="",J153="",J153=0),"",L153/J153)</f>
        <v/>
      </c>
      <c r="N153" s="9" t="n"/>
      <c r="O153" s="9" t="n"/>
      <c r="P153" s="9" t="n"/>
    </row>
    <row r="154">
      <c r="A154" s="8" t="n"/>
      <c r="B154" s="9" t="n"/>
      <c r="C154" s="9" t="n"/>
      <c r="D154" s="10" t="n"/>
      <c r="E154" s="10" t="n"/>
      <c r="F154" s="10" t="n"/>
      <c r="G154" s="9" t="n"/>
      <c r="H154" s="11" t="n"/>
      <c r="I154" s="12" t="n"/>
      <c r="J154" s="13">
        <f>IF(OR(D154="",E154="",G154=""),"",ABS(D154-E154)*G154)</f>
        <v/>
      </c>
      <c r="K154" s="10" t="n"/>
      <c r="L154" s="13">
        <f>IF(OR(D154="",K154="",G154=""),"",IF(LOWER(C154)="short",(D154-K154)*G154,(K154-D154)*G154))</f>
        <v/>
      </c>
      <c r="M154" s="14">
        <f>IF(OR(L154="",J154="",J154=0),"",L154/J154)</f>
        <v/>
      </c>
      <c r="N154" s="9" t="n"/>
      <c r="O154" s="9" t="n"/>
      <c r="P154" s="9" t="n"/>
    </row>
    <row r="155">
      <c r="A155" s="8" t="n"/>
      <c r="B155" s="9" t="n"/>
      <c r="C155" s="9" t="n"/>
      <c r="D155" s="10" t="n"/>
      <c r="E155" s="10" t="n"/>
      <c r="F155" s="10" t="n"/>
      <c r="G155" s="9" t="n"/>
      <c r="H155" s="11" t="n"/>
      <c r="I155" s="12" t="n"/>
      <c r="J155" s="13">
        <f>IF(OR(D155="",E155="",G155=""),"",ABS(D155-E155)*G155)</f>
        <v/>
      </c>
      <c r="K155" s="10" t="n"/>
      <c r="L155" s="13">
        <f>IF(OR(D155="",K155="",G155=""),"",IF(LOWER(C155)="short",(D155-K155)*G155,(K155-D155)*G155))</f>
        <v/>
      </c>
      <c r="M155" s="14">
        <f>IF(OR(L155="",J155="",J155=0),"",L155/J155)</f>
        <v/>
      </c>
      <c r="N155" s="9" t="n"/>
      <c r="O155" s="9" t="n"/>
      <c r="P155" s="9" t="n"/>
    </row>
    <row r="156">
      <c r="A156" s="8" t="n"/>
      <c r="B156" s="9" t="n"/>
      <c r="C156" s="9" t="n"/>
      <c r="D156" s="10" t="n"/>
      <c r="E156" s="10" t="n"/>
      <c r="F156" s="10" t="n"/>
      <c r="G156" s="9" t="n"/>
      <c r="H156" s="11" t="n"/>
      <c r="I156" s="12" t="n"/>
      <c r="J156" s="13">
        <f>IF(OR(D156="",E156="",G156=""),"",ABS(D156-E156)*G156)</f>
        <v/>
      </c>
      <c r="K156" s="10" t="n"/>
      <c r="L156" s="13">
        <f>IF(OR(D156="",K156="",G156=""),"",IF(LOWER(C156)="short",(D156-K156)*G156,(K156-D156)*G156))</f>
        <v/>
      </c>
      <c r="M156" s="14">
        <f>IF(OR(L156="",J156="",J156=0),"",L156/J156)</f>
        <v/>
      </c>
      <c r="N156" s="9" t="n"/>
      <c r="O156" s="9" t="n"/>
      <c r="P156" s="9" t="n"/>
    </row>
    <row r="157">
      <c r="A157" s="8" t="n"/>
      <c r="B157" s="9" t="n"/>
      <c r="C157" s="9" t="n"/>
      <c r="D157" s="10" t="n"/>
      <c r="E157" s="10" t="n"/>
      <c r="F157" s="10" t="n"/>
      <c r="G157" s="9" t="n"/>
      <c r="H157" s="11" t="n"/>
      <c r="I157" s="12" t="n"/>
      <c r="J157" s="13">
        <f>IF(OR(D157="",E157="",G157=""),"",ABS(D157-E157)*G157)</f>
        <v/>
      </c>
      <c r="K157" s="10" t="n"/>
      <c r="L157" s="13">
        <f>IF(OR(D157="",K157="",G157=""),"",IF(LOWER(C157)="short",(D157-K157)*G157,(K157-D157)*G157))</f>
        <v/>
      </c>
      <c r="M157" s="14">
        <f>IF(OR(L157="",J157="",J157=0),"",L157/J157)</f>
        <v/>
      </c>
      <c r="N157" s="9" t="n"/>
      <c r="O157" s="9" t="n"/>
      <c r="P157" s="9" t="n"/>
    </row>
    <row r="158">
      <c r="A158" s="8" t="n"/>
      <c r="B158" s="9" t="n"/>
      <c r="C158" s="9" t="n"/>
      <c r="D158" s="10" t="n"/>
      <c r="E158" s="10" t="n"/>
      <c r="F158" s="10" t="n"/>
      <c r="G158" s="9" t="n"/>
      <c r="H158" s="11" t="n"/>
      <c r="I158" s="12" t="n"/>
      <c r="J158" s="13">
        <f>IF(OR(D158="",E158="",G158=""),"",ABS(D158-E158)*G158)</f>
        <v/>
      </c>
      <c r="K158" s="10" t="n"/>
      <c r="L158" s="13">
        <f>IF(OR(D158="",K158="",G158=""),"",IF(LOWER(C158)="short",(D158-K158)*G158,(K158-D158)*G158))</f>
        <v/>
      </c>
      <c r="M158" s="14">
        <f>IF(OR(L158="",J158="",J158=0),"",L158/J158)</f>
        <v/>
      </c>
      <c r="N158" s="9" t="n"/>
      <c r="O158" s="9" t="n"/>
      <c r="P158" s="9" t="n"/>
    </row>
    <row r="159">
      <c r="A159" s="8" t="n"/>
      <c r="B159" s="9" t="n"/>
      <c r="C159" s="9" t="n"/>
      <c r="D159" s="10" t="n"/>
      <c r="E159" s="10" t="n"/>
      <c r="F159" s="10" t="n"/>
      <c r="G159" s="9" t="n"/>
      <c r="H159" s="11" t="n"/>
      <c r="I159" s="12" t="n"/>
      <c r="J159" s="13">
        <f>IF(OR(D159="",E159="",G159=""),"",ABS(D159-E159)*G159)</f>
        <v/>
      </c>
      <c r="K159" s="10" t="n"/>
      <c r="L159" s="13">
        <f>IF(OR(D159="",K159="",G159=""),"",IF(LOWER(C159)="short",(D159-K159)*G159,(K159-D159)*G159))</f>
        <v/>
      </c>
      <c r="M159" s="14">
        <f>IF(OR(L159="",J159="",J159=0),"",L159/J159)</f>
        <v/>
      </c>
      <c r="N159" s="9" t="n"/>
      <c r="O159" s="9" t="n"/>
      <c r="P159" s="9" t="n"/>
    </row>
    <row r="160">
      <c r="A160" s="8" t="n"/>
      <c r="B160" s="9" t="n"/>
      <c r="C160" s="9" t="n"/>
      <c r="D160" s="10" t="n"/>
      <c r="E160" s="10" t="n"/>
      <c r="F160" s="10" t="n"/>
      <c r="G160" s="9" t="n"/>
      <c r="H160" s="11" t="n"/>
      <c r="I160" s="12" t="n"/>
      <c r="J160" s="13">
        <f>IF(OR(D160="",E160="",G160=""),"",ABS(D160-E160)*G160)</f>
        <v/>
      </c>
      <c r="K160" s="10" t="n"/>
      <c r="L160" s="13">
        <f>IF(OR(D160="",K160="",G160=""),"",IF(LOWER(C160)="short",(D160-K160)*G160,(K160-D160)*G160))</f>
        <v/>
      </c>
      <c r="M160" s="14">
        <f>IF(OR(L160="",J160="",J160=0),"",L160/J160)</f>
        <v/>
      </c>
      <c r="N160" s="9" t="n"/>
      <c r="O160" s="9" t="n"/>
      <c r="P160" s="9" t="n"/>
    </row>
    <row r="161">
      <c r="A161" s="8" t="n"/>
      <c r="B161" s="9" t="n"/>
      <c r="C161" s="9" t="n"/>
      <c r="D161" s="10" t="n"/>
      <c r="E161" s="10" t="n"/>
      <c r="F161" s="10" t="n"/>
      <c r="G161" s="9" t="n"/>
      <c r="H161" s="11" t="n"/>
      <c r="I161" s="12" t="n"/>
      <c r="J161" s="13">
        <f>IF(OR(D161="",E161="",G161=""),"",ABS(D161-E161)*G161)</f>
        <v/>
      </c>
      <c r="K161" s="10" t="n"/>
      <c r="L161" s="13">
        <f>IF(OR(D161="",K161="",G161=""),"",IF(LOWER(C161)="short",(D161-K161)*G161,(K161-D161)*G161))</f>
        <v/>
      </c>
      <c r="M161" s="14">
        <f>IF(OR(L161="",J161="",J161=0),"",L161/J161)</f>
        <v/>
      </c>
      <c r="N161" s="9" t="n"/>
      <c r="O161" s="9" t="n"/>
      <c r="P161" s="9" t="n"/>
    </row>
    <row r="162">
      <c r="A162" s="8" t="n"/>
      <c r="B162" s="9" t="n"/>
      <c r="C162" s="9" t="n"/>
      <c r="D162" s="10" t="n"/>
      <c r="E162" s="10" t="n"/>
      <c r="F162" s="10" t="n"/>
      <c r="G162" s="9" t="n"/>
      <c r="H162" s="11" t="n"/>
      <c r="I162" s="12" t="n"/>
      <c r="J162" s="13">
        <f>IF(OR(D162="",E162="",G162=""),"",ABS(D162-E162)*G162)</f>
        <v/>
      </c>
      <c r="K162" s="10" t="n"/>
      <c r="L162" s="13">
        <f>IF(OR(D162="",K162="",G162=""),"",IF(LOWER(C162)="short",(D162-K162)*G162,(K162-D162)*G162))</f>
        <v/>
      </c>
      <c r="M162" s="14">
        <f>IF(OR(L162="",J162="",J162=0),"",L162/J162)</f>
        <v/>
      </c>
      <c r="N162" s="9" t="n"/>
      <c r="O162" s="9" t="n"/>
      <c r="P162" s="9" t="n"/>
    </row>
    <row r="163">
      <c r="A163" s="8" t="n"/>
      <c r="B163" s="9" t="n"/>
      <c r="C163" s="9" t="n"/>
      <c r="D163" s="10" t="n"/>
      <c r="E163" s="10" t="n"/>
      <c r="F163" s="10" t="n"/>
      <c r="G163" s="9" t="n"/>
      <c r="H163" s="11" t="n"/>
      <c r="I163" s="12" t="n"/>
      <c r="J163" s="13">
        <f>IF(OR(D163="",E163="",G163=""),"",ABS(D163-E163)*G163)</f>
        <v/>
      </c>
      <c r="K163" s="10" t="n"/>
      <c r="L163" s="13">
        <f>IF(OR(D163="",K163="",G163=""),"",IF(LOWER(C163)="short",(D163-K163)*G163,(K163-D163)*G163))</f>
        <v/>
      </c>
      <c r="M163" s="14">
        <f>IF(OR(L163="",J163="",J163=0),"",L163/J163)</f>
        <v/>
      </c>
      <c r="N163" s="9" t="n"/>
      <c r="O163" s="9" t="n"/>
      <c r="P163" s="9" t="n"/>
    </row>
    <row r="164">
      <c r="A164" s="8" t="n"/>
      <c r="B164" s="9" t="n"/>
      <c r="C164" s="9" t="n"/>
      <c r="D164" s="10" t="n"/>
      <c r="E164" s="10" t="n"/>
      <c r="F164" s="10" t="n"/>
      <c r="G164" s="9" t="n"/>
      <c r="H164" s="11" t="n"/>
      <c r="I164" s="12" t="n"/>
      <c r="J164" s="13">
        <f>IF(OR(D164="",E164="",G164=""),"",ABS(D164-E164)*G164)</f>
        <v/>
      </c>
      <c r="K164" s="10" t="n"/>
      <c r="L164" s="13">
        <f>IF(OR(D164="",K164="",G164=""),"",IF(LOWER(C164)="short",(D164-K164)*G164,(K164-D164)*G164))</f>
        <v/>
      </c>
      <c r="M164" s="14">
        <f>IF(OR(L164="",J164="",J164=0),"",L164/J164)</f>
        <v/>
      </c>
      <c r="N164" s="9" t="n"/>
      <c r="O164" s="9" t="n"/>
      <c r="P164" s="9" t="n"/>
    </row>
    <row r="165">
      <c r="A165" s="8" t="n"/>
      <c r="B165" s="9" t="n"/>
      <c r="C165" s="9" t="n"/>
      <c r="D165" s="10" t="n"/>
      <c r="E165" s="10" t="n"/>
      <c r="F165" s="10" t="n"/>
      <c r="G165" s="9" t="n"/>
      <c r="H165" s="11" t="n"/>
      <c r="I165" s="12" t="n"/>
      <c r="J165" s="13">
        <f>IF(OR(D165="",E165="",G165=""),"",ABS(D165-E165)*G165)</f>
        <v/>
      </c>
      <c r="K165" s="10" t="n"/>
      <c r="L165" s="13">
        <f>IF(OR(D165="",K165="",G165=""),"",IF(LOWER(C165)="short",(D165-K165)*G165,(K165-D165)*G165))</f>
        <v/>
      </c>
      <c r="M165" s="14">
        <f>IF(OR(L165="",J165="",J165=0),"",L165/J165)</f>
        <v/>
      </c>
      <c r="N165" s="9" t="n"/>
      <c r="O165" s="9" t="n"/>
      <c r="P165" s="9" t="n"/>
    </row>
    <row r="166">
      <c r="A166" s="8" t="n"/>
      <c r="B166" s="9" t="n"/>
      <c r="C166" s="9" t="n"/>
      <c r="D166" s="10" t="n"/>
      <c r="E166" s="10" t="n"/>
      <c r="F166" s="10" t="n"/>
      <c r="G166" s="9" t="n"/>
      <c r="H166" s="11" t="n"/>
      <c r="I166" s="12" t="n"/>
      <c r="J166" s="13">
        <f>IF(OR(D166="",E166="",G166=""),"",ABS(D166-E166)*G166)</f>
        <v/>
      </c>
      <c r="K166" s="10" t="n"/>
      <c r="L166" s="13">
        <f>IF(OR(D166="",K166="",G166=""),"",IF(LOWER(C166)="short",(D166-K166)*G166,(K166-D166)*G166))</f>
        <v/>
      </c>
      <c r="M166" s="14">
        <f>IF(OR(L166="",J166="",J166=0),"",L166/J166)</f>
        <v/>
      </c>
      <c r="N166" s="9" t="n"/>
      <c r="O166" s="9" t="n"/>
      <c r="P166" s="9" t="n"/>
    </row>
    <row r="167">
      <c r="A167" s="8" t="n"/>
      <c r="B167" s="9" t="n"/>
      <c r="C167" s="9" t="n"/>
      <c r="D167" s="10" t="n"/>
      <c r="E167" s="10" t="n"/>
      <c r="F167" s="10" t="n"/>
      <c r="G167" s="9" t="n"/>
      <c r="H167" s="11" t="n"/>
      <c r="I167" s="12" t="n"/>
      <c r="J167" s="13">
        <f>IF(OR(D167="",E167="",G167=""),"",ABS(D167-E167)*G167)</f>
        <v/>
      </c>
      <c r="K167" s="10" t="n"/>
      <c r="L167" s="13">
        <f>IF(OR(D167="",K167="",G167=""),"",IF(LOWER(C167)="short",(D167-K167)*G167,(K167-D167)*G167))</f>
        <v/>
      </c>
      <c r="M167" s="14">
        <f>IF(OR(L167="",J167="",J167=0),"",L167/J167)</f>
        <v/>
      </c>
      <c r="N167" s="9" t="n"/>
      <c r="O167" s="9" t="n"/>
      <c r="P167" s="9" t="n"/>
    </row>
    <row r="168">
      <c r="A168" s="8" t="n"/>
      <c r="B168" s="9" t="n"/>
      <c r="C168" s="9" t="n"/>
      <c r="D168" s="10" t="n"/>
      <c r="E168" s="10" t="n"/>
      <c r="F168" s="10" t="n"/>
      <c r="G168" s="9" t="n"/>
      <c r="H168" s="11" t="n"/>
      <c r="I168" s="12" t="n"/>
      <c r="J168" s="13">
        <f>IF(OR(D168="",E168="",G168=""),"",ABS(D168-E168)*G168)</f>
        <v/>
      </c>
      <c r="K168" s="10" t="n"/>
      <c r="L168" s="13">
        <f>IF(OR(D168="",K168="",G168=""),"",IF(LOWER(C168)="short",(D168-K168)*G168,(K168-D168)*G168))</f>
        <v/>
      </c>
      <c r="M168" s="14">
        <f>IF(OR(L168="",J168="",J168=0),"",L168/J168)</f>
        <v/>
      </c>
      <c r="N168" s="9" t="n"/>
      <c r="O168" s="9" t="n"/>
      <c r="P168" s="9" t="n"/>
    </row>
    <row r="169">
      <c r="A169" s="8" t="n"/>
      <c r="B169" s="9" t="n"/>
      <c r="C169" s="9" t="n"/>
      <c r="D169" s="10" t="n"/>
      <c r="E169" s="10" t="n"/>
      <c r="F169" s="10" t="n"/>
      <c r="G169" s="9" t="n"/>
      <c r="H169" s="11" t="n"/>
      <c r="I169" s="12" t="n"/>
      <c r="J169" s="13">
        <f>IF(OR(D169="",E169="",G169=""),"",ABS(D169-E169)*G169)</f>
        <v/>
      </c>
      <c r="K169" s="10" t="n"/>
      <c r="L169" s="13">
        <f>IF(OR(D169="",K169="",G169=""),"",IF(LOWER(C169)="short",(D169-K169)*G169,(K169-D169)*G169))</f>
        <v/>
      </c>
      <c r="M169" s="14">
        <f>IF(OR(L169="",J169="",J169=0),"",L169/J169)</f>
        <v/>
      </c>
      <c r="N169" s="9" t="n"/>
      <c r="O169" s="9" t="n"/>
      <c r="P169" s="9" t="n"/>
    </row>
    <row r="170">
      <c r="A170" s="8" t="n"/>
      <c r="B170" s="9" t="n"/>
      <c r="C170" s="9" t="n"/>
      <c r="D170" s="10" t="n"/>
      <c r="E170" s="10" t="n"/>
      <c r="F170" s="10" t="n"/>
      <c r="G170" s="9" t="n"/>
      <c r="H170" s="11" t="n"/>
      <c r="I170" s="12" t="n"/>
      <c r="J170" s="13">
        <f>IF(OR(D170="",E170="",G170=""),"",ABS(D170-E170)*G170)</f>
        <v/>
      </c>
      <c r="K170" s="10" t="n"/>
      <c r="L170" s="13">
        <f>IF(OR(D170="",K170="",G170=""),"",IF(LOWER(C170)="short",(D170-K170)*G170,(K170-D170)*G170))</f>
        <v/>
      </c>
      <c r="M170" s="14">
        <f>IF(OR(L170="",J170="",J170=0),"",L170/J170)</f>
        <v/>
      </c>
      <c r="N170" s="9" t="n"/>
      <c r="O170" s="9" t="n"/>
      <c r="P170" s="9" t="n"/>
    </row>
    <row r="171">
      <c r="A171" s="8" t="n"/>
      <c r="B171" s="9" t="n"/>
      <c r="C171" s="9" t="n"/>
      <c r="D171" s="10" t="n"/>
      <c r="E171" s="10" t="n"/>
      <c r="F171" s="10" t="n"/>
      <c r="G171" s="9" t="n"/>
      <c r="H171" s="11" t="n"/>
      <c r="I171" s="12" t="n"/>
      <c r="J171" s="13">
        <f>IF(OR(D171="",E171="",G171=""),"",ABS(D171-E171)*G171)</f>
        <v/>
      </c>
      <c r="K171" s="10" t="n"/>
      <c r="L171" s="13">
        <f>IF(OR(D171="",K171="",G171=""),"",IF(LOWER(C171)="short",(D171-K171)*G171,(K171-D171)*G171))</f>
        <v/>
      </c>
      <c r="M171" s="14">
        <f>IF(OR(L171="",J171="",J171=0),"",L171/J171)</f>
        <v/>
      </c>
      <c r="N171" s="9" t="n"/>
      <c r="O171" s="9" t="n"/>
      <c r="P171" s="9" t="n"/>
    </row>
    <row r="172">
      <c r="A172" s="8" t="n"/>
      <c r="B172" s="9" t="n"/>
      <c r="C172" s="9" t="n"/>
      <c r="D172" s="10" t="n"/>
      <c r="E172" s="10" t="n"/>
      <c r="F172" s="10" t="n"/>
      <c r="G172" s="9" t="n"/>
      <c r="H172" s="11" t="n"/>
      <c r="I172" s="12" t="n"/>
      <c r="J172" s="13">
        <f>IF(OR(D172="",E172="",G172=""),"",ABS(D172-E172)*G172)</f>
        <v/>
      </c>
      <c r="K172" s="10" t="n"/>
      <c r="L172" s="13">
        <f>IF(OR(D172="",K172="",G172=""),"",IF(LOWER(C172)="short",(D172-K172)*G172,(K172-D172)*G172))</f>
        <v/>
      </c>
      <c r="M172" s="14">
        <f>IF(OR(L172="",J172="",J172=0),"",L172/J172)</f>
        <v/>
      </c>
      <c r="N172" s="9" t="n"/>
      <c r="O172" s="9" t="n"/>
      <c r="P172" s="9" t="n"/>
    </row>
    <row r="173">
      <c r="A173" s="8" t="n"/>
      <c r="B173" s="9" t="n"/>
      <c r="C173" s="9" t="n"/>
      <c r="D173" s="10" t="n"/>
      <c r="E173" s="10" t="n"/>
      <c r="F173" s="10" t="n"/>
      <c r="G173" s="9" t="n"/>
      <c r="H173" s="11" t="n"/>
      <c r="I173" s="12" t="n"/>
      <c r="J173" s="13">
        <f>IF(OR(D173="",E173="",G173=""),"",ABS(D173-E173)*G173)</f>
        <v/>
      </c>
      <c r="K173" s="10" t="n"/>
      <c r="L173" s="13">
        <f>IF(OR(D173="",K173="",G173=""),"",IF(LOWER(C173)="short",(D173-K173)*G173,(K173-D173)*G173))</f>
        <v/>
      </c>
      <c r="M173" s="14">
        <f>IF(OR(L173="",J173="",J173=0),"",L173/J173)</f>
        <v/>
      </c>
      <c r="N173" s="9" t="n"/>
      <c r="O173" s="9" t="n"/>
      <c r="P173" s="9" t="n"/>
    </row>
    <row r="174">
      <c r="A174" s="8" t="n"/>
      <c r="B174" s="9" t="n"/>
      <c r="C174" s="9" t="n"/>
      <c r="D174" s="10" t="n"/>
      <c r="E174" s="10" t="n"/>
      <c r="F174" s="10" t="n"/>
      <c r="G174" s="9" t="n"/>
      <c r="H174" s="11" t="n"/>
      <c r="I174" s="12" t="n"/>
      <c r="J174" s="13">
        <f>IF(OR(D174="",E174="",G174=""),"",ABS(D174-E174)*G174)</f>
        <v/>
      </c>
      <c r="K174" s="10" t="n"/>
      <c r="L174" s="13">
        <f>IF(OR(D174="",K174="",G174=""),"",IF(LOWER(C174)="short",(D174-K174)*G174,(K174-D174)*G174))</f>
        <v/>
      </c>
      <c r="M174" s="14">
        <f>IF(OR(L174="",J174="",J174=0),"",L174/J174)</f>
        <v/>
      </c>
      <c r="N174" s="9" t="n"/>
      <c r="O174" s="9" t="n"/>
      <c r="P174" s="9" t="n"/>
    </row>
    <row r="175">
      <c r="A175" s="8" t="n"/>
      <c r="B175" s="9" t="n"/>
      <c r="C175" s="9" t="n"/>
      <c r="D175" s="10" t="n"/>
      <c r="E175" s="10" t="n"/>
      <c r="F175" s="10" t="n"/>
      <c r="G175" s="9" t="n"/>
      <c r="H175" s="11" t="n"/>
      <c r="I175" s="12" t="n"/>
      <c r="J175" s="13">
        <f>IF(OR(D175="",E175="",G175=""),"",ABS(D175-E175)*G175)</f>
        <v/>
      </c>
      <c r="K175" s="10" t="n"/>
      <c r="L175" s="13">
        <f>IF(OR(D175="",K175="",G175=""),"",IF(LOWER(C175)="short",(D175-K175)*G175,(K175-D175)*G175))</f>
        <v/>
      </c>
      <c r="M175" s="14">
        <f>IF(OR(L175="",J175="",J175=0),"",L175/J175)</f>
        <v/>
      </c>
      <c r="N175" s="9" t="n"/>
      <c r="O175" s="9" t="n"/>
      <c r="P175" s="9" t="n"/>
    </row>
    <row r="176">
      <c r="A176" s="8" t="n"/>
      <c r="B176" s="9" t="n"/>
      <c r="C176" s="9" t="n"/>
      <c r="D176" s="10" t="n"/>
      <c r="E176" s="10" t="n"/>
      <c r="F176" s="10" t="n"/>
      <c r="G176" s="9" t="n"/>
      <c r="H176" s="11" t="n"/>
      <c r="I176" s="12" t="n"/>
      <c r="J176" s="13">
        <f>IF(OR(D176="",E176="",G176=""),"",ABS(D176-E176)*G176)</f>
        <v/>
      </c>
      <c r="K176" s="10" t="n"/>
      <c r="L176" s="13">
        <f>IF(OR(D176="",K176="",G176=""),"",IF(LOWER(C176)="short",(D176-K176)*G176,(K176-D176)*G176))</f>
        <v/>
      </c>
      <c r="M176" s="14">
        <f>IF(OR(L176="",J176="",J176=0),"",L176/J176)</f>
        <v/>
      </c>
      <c r="N176" s="9" t="n"/>
      <c r="O176" s="9" t="n"/>
      <c r="P176" s="9" t="n"/>
    </row>
    <row r="177">
      <c r="A177" s="8" t="n"/>
      <c r="B177" s="9" t="n"/>
      <c r="C177" s="9" t="n"/>
      <c r="D177" s="10" t="n"/>
      <c r="E177" s="10" t="n"/>
      <c r="F177" s="10" t="n"/>
      <c r="G177" s="9" t="n"/>
      <c r="H177" s="11" t="n"/>
      <c r="I177" s="12" t="n"/>
      <c r="J177" s="13">
        <f>IF(OR(D177="",E177="",G177=""),"",ABS(D177-E177)*G177)</f>
        <v/>
      </c>
      <c r="K177" s="10" t="n"/>
      <c r="L177" s="13">
        <f>IF(OR(D177="",K177="",G177=""),"",IF(LOWER(C177)="short",(D177-K177)*G177,(K177-D177)*G177))</f>
        <v/>
      </c>
      <c r="M177" s="14">
        <f>IF(OR(L177="",J177="",J177=0),"",L177/J177)</f>
        <v/>
      </c>
      <c r="N177" s="9" t="n"/>
      <c r="O177" s="9" t="n"/>
      <c r="P177" s="9" t="n"/>
    </row>
    <row r="178">
      <c r="A178" s="8" t="n"/>
      <c r="B178" s="9" t="n"/>
      <c r="C178" s="9" t="n"/>
      <c r="D178" s="10" t="n"/>
      <c r="E178" s="10" t="n"/>
      <c r="F178" s="10" t="n"/>
      <c r="G178" s="9" t="n"/>
      <c r="H178" s="11" t="n"/>
      <c r="I178" s="12" t="n"/>
      <c r="J178" s="13">
        <f>IF(OR(D178="",E178="",G178=""),"",ABS(D178-E178)*G178)</f>
        <v/>
      </c>
      <c r="K178" s="10" t="n"/>
      <c r="L178" s="13">
        <f>IF(OR(D178="",K178="",G178=""),"",IF(LOWER(C178)="short",(D178-K178)*G178,(K178-D178)*G178))</f>
        <v/>
      </c>
      <c r="M178" s="14">
        <f>IF(OR(L178="",J178="",J178=0),"",L178/J178)</f>
        <v/>
      </c>
      <c r="N178" s="9" t="n"/>
      <c r="O178" s="9" t="n"/>
      <c r="P178" s="9" t="n"/>
    </row>
    <row r="179">
      <c r="A179" s="8" t="n"/>
      <c r="B179" s="9" t="n"/>
      <c r="C179" s="9" t="n"/>
      <c r="D179" s="10" t="n"/>
      <c r="E179" s="10" t="n"/>
      <c r="F179" s="10" t="n"/>
      <c r="G179" s="9" t="n"/>
      <c r="H179" s="11" t="n"/>
      <c r="I179" s="12" t="n"/>
      <c r="J179" s="13">
        <f>IF(OR(D179="",E179="",G179=""),"",ABS(D179-E179)*G179)</f>
        <v/>
      </c>
      <c r="K179" s="10" t="n"/>
      <c r="L179" s="13">
        <f>IF(OR(D179="",K179="",G179=""),"",IF(LOWER(C179)="short",(D179-K179)*G179,(K179-D179)*G179))</f>
        <v/>
      </c>
      <c r="M179" s="14">
        <f>IF(OR(L179="",J179="",J179=0),"",L179/J179)</f>
        <v/>
      </c>
      <c r="N179" s="9" t="n"/>
      <c r="O179" s="9" t="n"/>
      <c r="P179" s="9" t="n"/>
    </row>
    <row r="180">
      <c r="A180" s="8" t="n"/>
      <c r="B180" s="9" t="n"/>
      <c r="C180" s="9" t="n"/>
      <c r="D180" s="10" t="n"/>
      <c r="E180" s="10" t="n"/>
      <c r="F180" s="10" t="n"/>
      <c r="G180" s="9" t="n"/>
      <c r="H180" s="11" t="n"/>
      <c r="I180" s="12" t="n"/>
      <c r="J180" s="13">
        <f>IF(OR(D180="",E180="",G180=""),"",ABS(D180-E180)*G180)</f>
        <v/>
      </c>
      <c r="K180" s="10" t="n"/>
      <c r="L180" s="13">
        <f>IF(OR(D180="",K180="",G180=""),"",IF(LOWER(C180)="short",(D180-K180)*G180,(K180-D180)*G180))</f>
        <v/>
      </c>
      <c r="M180" s="14">
        <f>IF(OR(L180="",J180="",J180=0),"",L180/J180)</f>
        <v/>
      </c>
      <c r="N180" s="9" t="n"/>
      <c r="O180" s="9" t="n"/>
      <c r="P180" s="9" t="n"/>
    </row>
    <row r="181">
      <c r="A181" s="8" t="n"/>
      <c r="B181" s="9" t="n"/>
      <c r="C181" s="9" t="n"/>
      <c r="D181" s="10" t="n"/>
      <c r="E181" s="10" t="n"/>
      <c r="F181" s="10" t="n"/>
      <c r="G181" s="9" t="n"/>
      <c r="H181" s="11" t="n"/>
      <c r="I181" s="12" t="n"/>
      <c r="J181" s="13">
        <f>IF(OR(D181="",E181="",G181=""),"",ABS(D181-E181)*G181)</f>
        <v/>
      </c>
      <c r="K181" s="10" t="n"/>
      <c r="L181" s="13">
        <f>IF(OR(D181="",K181="",G181=""),"",IF(LOWER(C181)="short",(D181-K181)*G181,(K181-D181)*G181))</f>
        <v/>
      </c>
      <c r="M181" s="14">
        <f>IF(OR(L181="",J181="",J181=0),"",L181/J181)</f>
        <v/>
      </c>
      <c r="N181" s="9" t="n"/>
      <c r="O181" s="9" t="n"/>
      <c r="P181" s="9" t="n"/>
    </row>
    <row r="182">
      <c r="A182" s="8" t="n"/>
      <c r="B182" s="9" t="n"/>
      <c r="C182" s="9" t="n"/>
      <c r="D182" s="10" t="n"/>
      <c r="E182" s="10" t="n"/>
      <c r="F182" s="10" t="n"/>
      <c r="G182" s="9" t="n"/>
      <c r="H182" s="11" t="n"/>
      <c r="I182" s="12" t="n"/>
      <c r="J182" s="13">
        <f>IF(OR(D182="",E182="",G182=""),"",ABS(D182-E182)*G182)</f>
        <v/>
      </c>
      <c r="K182" s="10" t="n"/>
      <c r="L182" s="13">
        <f>IF(OR(D182="",K182="",G182=""),"",IF(LOWER(C182)="short",(D182-K182)*G182,(K182-D182)*G182))</f>
        <v/>
      </c>
      <c r="M182" s="14">
        <f>IF(OR(L182="",J182="",J182=0),"",L182/J182)</f>
        <v/>
      </c>
      <c r="N182" s="9" t="n"/>
      <c r="O182" s="9" t="n"/>
      <c r="P182" s="9" t="n"/>
    </row>
    <row r="183">
      <c r="A183" s="8" t="n"/>
      <c r="B183" s="9" t="n"/>
      <c r="C183" s="9" t="n"/>
      <c r="D183" s="10" t="n"/>
      <c r="E183" s="10" t="n"/>
      <c r="F183" s="10" t="n"/>
      <c r="G183" s="9" t="n"/>
      <c r="H183" s="11" t="n"/>
      <c r="I183" s="12" t="n"/>
      <c r="J183" s="13">
        <f>IF(OR(D183="",E183="",G183=""),"",ABS(D183-E183)*G183)</f>
        <v/>
      </c>
      <c r="K183" s="10" t="n"/>
      <c r="L183" s="13">
        <f>IF(OR(D183="",K183="",G183=""),"",IF(LOWER(C183)="short",(D183-K183)*G183,(K183-D183)*G183))</f>
        <v/>
      </c>
      <c r="M183" s="14">
        <f>IF(OR(L183="",J183="",J183=0),"",L183/J183)</f>
        <v/>
      </c>
      <c r="N183" s="9" t="n"/>
      <c r="O183" s="9" t="n"/>
      <c r="P183" s="9" t="n"/>
    </row>
    <row r="184">
      <c r="A184" s="8" t="n"/>
      <c r="B184" s="9" t="n"/>
      <c r="C184" s="9" t="n"/>
      <c r="D184" s="10" t="n"/>
      <c r="E184" s="10" t="n"/>
      <c r="F184" s="10" t="n"/>
      <c r="G184" s="9" t="n"/>
      <c r="H184" s="11" t="n"/>
      <c r="I184" s="12" t="n"/>
      <c r="J184" s="13">
        <f>IF(OR(D184="",E184="",G184=""),"",ABS(D184-E184)*G184)</f>
        <v/>
      </c>
      <c r="K184" s="10" t="n"/>
      <c r="L184" s="13">
        <f>IF(OR(D184="",K184="",G184=""),"",IF(LOWER(C184)="short",(D184-K184)*G184,(K184-D184)*G184))</f>
        <v/>
      </c>
      <c r="M184" s="14">
        <f>IF(OR(L184="",J184="",J184=0),"",L184/J184)</f>
        <v/>
      </c>
      <c r="N184" s="9" t="n"/>
      <c r="O184" s="9" t="n"/>
      <c r="P184" s="9" t="n"/>
    </row>
    <row r="185">
      <c r="A185" s="8" t="n"/>
      <c r="B185" s="9" t="n"/>
      <c r="C185" s="9" t="n"/>
      <c r="D185" s="10" t="n"/>
      <c r="E185" s="10" t="n"/>
      <c r="F185" s="10" t="n"/>
      <c r="G185" s="9" t="n"/>
      <c r="H185" s="11" t="n"/>
      <c r="I185" s="12" t="n"/>
      <c r="J185" s="13">
        <f>IF(OR(D185="",E185="",G185=""),"",ABS(D185-E185)*G185)</f>
        <v/>
      </c>
      <c r="K185" s="10" t="n"/>
      <c r="L185" s="13">
        <f>IF(OR(D185="",K185="",G185=""),"",IF(LOWER(C185)="short",(D185-K185)*G185,(K185-D185)*G185))</f>
        <v/>
      </c>
      <c r="M185" s="14">
        <f>IF(OR(L185="",J185="",J185=0),"",L185/J185)</f>
        <v/>
      </c>
      <c r="N185" s="9" t="n"/>
      <c r="O185" s="9" t="n"/>
      <c r="P185" s="9" t="n"/>
    </row>
    <row r="186">
      <c r="A186" s="8" t="n"/>
      <c r="B186" s="9" t="n"/>
      <c r="C186" s="9" t="n"/>
      <c r="D186" s="10" t="n"/>
      <c r="E186" s="10" t="n"/>
      <c r="F186" s="10" t="n"/>
      <c r="G186" s="9" t="n"/>
      <c r="H186" s="11" t="n"/>
      <c r="I186" s="12" t="n"/>
      <c r="J186" s="13">
        <f>IF(OR(D186="",E186="",G186=""),"",ABS(D186-E186)*G186)</f>
        <v/>
      </c>
      <c r="K186" s="10" t="n"/>
      <c r="L186" s="13">
        <f>IF(OR(D186="",K186="",G186=""),"",IF(LOWER(C186)="short",(D186-K186)*G186,(K186-D186)*G186))</f>
        <v/>
      </c>
      <c r="M186" s="14">
        <f>IF(OR(L186="",J186="",J186=0),"",L186/J186)</f>
        <v/>
      </c>
      <c r="N186" s="9" t="n"/>
      <c r="O186" s="9" t="n"/>
      <c r="P186" s="9" t="n"/>
    </row>
    <row r="187">
      <c r="A187" s="8" t="n"/>
      <c r="B187" s="9" t="n"/>
      <c r="C187" s="9" t="n"/>
      <c r="D187" s="10" t="n"/>
      <c r="E187" s="10" t="n"/>
      <c r="F187" s="10" t="n"/>
      <c r="G187" s="9" t="n"/>
      <c r="H187" s="11" t="n"/>
      <c r="I187" s="12" t="n"/>
      <c r="J187" s="13">
        <f>IF(OR(D187="",E187="",G187=""),"",ABS(D187-E187)*G187)</f>
        <v/>
      </c>
      <c r="K187" s="10" t="n"/>
      <c r="L187" s="13">
        <f>IF(OR(D187="",K187="",G187=""),"",IF(LOWER(C187)="short",(D187-K187)*G187,(K187-D187)*G187))</f>
        <v/>
      </c>
      <c r="M187" s="14">
        <f>IF(OR(L187="",J187="",J187=0),"",L187/J187)</f>
        <v/>
      </c>
      <c r="N187" s="9" t="n"/>
      <c r="O187" s="9" t="n"/>
      <c r="P187" s="9" t="n"/>
    </row>
    <row r="188">
      <c r="A188" s="8" t="n"/>
      <c r="B188" s="9" t="n"/>
      <c r="C188" s="9" t="n"/>
      <c r="D188" s="10" t="n"/>
      <c r="E188" s="10" t="n"/>
      <c r="F188" s="10" t="n"/>
      <c r="G188" s="9" t="n"/>
      <c r="H188" s="11" t="n"/>
      <c r="I188" s="12" t="n"/>
      <c r="J188" s="13">
        <f>IF(OR(D188="",E188="",G188=""),"",ABS(D188-E188)*G188)</f>
        <v/>
      </c>
      <c r="K188" s="10" t="n"/>
      <c r="L188" s="13">
        <f>IF(OR(D188="",K188="",G188=""),"",IF(LOWER(C188)="short",(D188-K188)*G188,(K188-D188)*G188))</f>
        <v/>
      </c>
      <c r="M188" s="14">
        <f>IF(OR(L188="",J188="",J188=0),"",L188/J188)</f>
        <v/>
      </c>
      <c r="N188" s="9" t="n"/>
      <c r="O188" s="9" t="n"/>
      <c r="P188" s="9" t="n"/>
    </row>
    <row r="189">
      <c r="A189" s="8" t="n"/>
      <c r="B189" s="9" t="n"/>
      <c r="C189" s="9" t="n"/>
      <c r="D189" s="10" t="n"/>
      <c r="E189" s="10" t="n"/>
      <c r="F189" s="10" t="n"/>
      <c r="G189" s="9" t="n"/>
      <c r="H189" s="11" t="n"/>
      <c r="I189" s="12" t="n"/>
      <c r="J189" s="13">
        <f>IF(OR(D189="",E189="",G189=""),"",ABS(D189-E189)*G189)</f>
        <v/>
      </c>
      <c r="K189" s="10" t="n"/>
      <c r="L189" s="13">
        <f>IF(OR(D189="",K189="",G189=""),"",IF(LOWER(C189)="short",(D189-K189)*G189,(K189-D189)*G189))</f>
        <v/>
      </c>
      <c r="M189" s="14">
        <f>IF(OR(L189="",J189="",J189=0),"",L189/J189)</f>
        <v/>
      </c>
      <c r="N189" s="9" t="n"/>
      <c r="O189" s="9" t="n"/>
      <c r="P189" s="9" t="n"/>
    </row>
    <row r="190">
      <c r="A190" s="8" t="n"/>
      <c r="B190" s="9" t="n"/>
      <c r="C190" s="9" t="n"/>
      <c r="D190" s="10" t="n"/>
      <c r="E190" s="10" t="n"/>
      <c r="F190" s="10" t="n"/>
      <c r="G190" s="9" t="n"/>
      <c r="H190" s="11" t="n"/>
      <c r="I190" s="12" t="n"/>
      <c r="J190" s="13">
        <f>IF(OR(D190="",E190="",G190=""),"",ABS(D190-E190)*G190)</f>
        <v/>
      </c>
      <c r="K190" s="10" t="n"/>
      <c r="L190" s="13">
        <f>IF(OR(D190="",K190="",G190=""),"",IF(LOWER(C190)="short",(D190-K190)*G190,(K190-D190)*G190))</f>
        <v/>
      </c>
      <c r="M190" s="14">
        <f>IF(OR(L190="",J190="",J190=0),"",L190/J190)</f>
        <v/>
      </c>
      <c r="N190" s="9" t="n"/>
      <c r="O190" s="9" t="n"/>
      <c r="P190" s="9" t="n"/>
    </row>
    <row r="191">
      <c r="A191" s="8" t="n"/>
      <c r="B191" s="9" t="n"/>
      <c r="C191" s="9" t="n"/>
      <c r="D191" s="10" t="n"/>
      <c r="E191" s="10" t="n"/>
      <c r="F191" s="10" t="n"/>
      <c r="G191" s="9" t="n"/>
      <c r="H191" s="11" t="n"/>
      <c r="I191" s="12" t="n"/>
      <c r="J191" s="13">
        <f>IF(OR(D191="",E191="",G191=""),"",ABS(D191-E191)*G191)</f>
        <v/>
      </c>
      <c r="K191" s="10" t="n"/>
      <c r="L191" s="13">
        <f>IF(OR(D191="",K191="",G191=""),"",IF(LOWER(C191)="short",(D191-K191)*G191,(K191-D191)*G191))</f>
        <v/>
      </c>
      <c r="M191" s="14">
        <f>IF(OR(L191="",J191="",J191=0),"",L191/J191)</f>
        <v/>
      </c>
      <c r="N191" s="9" t="n"/>
      <c r="O191" s="9" t="n"/>
      <c r="P191" s="9" t="n"/>
    </row>
    <row r="192">
      <c r="A192" s="8" t="n"/>
      <c r="B192" s="9" t="n"/>
      <c r="C192" s="9" t="n"/>
      <c r="D192" s="10" t="n"/>
      <c r="E192" s="10" t="n"/>
      <c r="F192" s="10" t="n"/>
      <c r="G192" s="9" t="n"/>
      <c r="H192" s="11" t="n"/>
      <c r="I192" s="12" t="n"/>
      <c r="J192" s="13">
        <f>IF(OR(D192="",E192="",G192=""),"",ABS(D192-E192)*G192)</f>
        <v/>
      </c>
      <c r="K192" s="10" t="n"/>
      <c r="L192" s="13">
        <f>IF(OR(D192="",K192="",G192=""),"",IF(LOWER(C192)="short",(D192-K192)*G192,(K192-D192)*G192))</f>
        <v/>
      </c>
      <c r="M192" s="14">
        <f>IF(OR(L192="",J192="",J192=0),"",L192/J192)</f>
        <v/>
      </c>
      <c r="N192" s="9" t="n"/>
      <c r="O192" s="9" t="n"/>
      <c r="P192" s="9" t="n"/>
    </row>
    <row r="193">
      <c r="A193" s="8" t="n"/>
      <c r="B193" s="9" t="n"/>
      <c r="C193" s="9" t="n"/>
      <c r="D193" s="10" t="n"/>
      <c r="E193" s="10" t="n"/>
      <c r="F193" s="10" t="n"/>
      <c r="G193" s="9" t="n"/>
      <c r="H193" s="11" t="n"/>
      <c r="I193" s="12" t="n"/>
      <c r="J193" s="13">
        <f>IF(OR(D193="",E193="",G193=""),"",ABS(D193-E193)*G193)</f>
        <v/>
      </c>
      <c r="K193" s="10" t="n"/>
      <c r="L193" s="13">
        <f>IF(OR(D193="",K193="",G193=""),"",IF(LOWER(C193)="short",(D193-K193)*G193,(K193-D193)*G193))</f>
        <v/>
      </c>
      <c r="M193" s="14">
        <f>IF(OR(L193="",J193="",J193=0),"",L193/J193)</f>
        <v/>
      </c>
      <c r="N193" s="9" t="n"/>
      <c r="O193" s="9" t="n"/>
      <c r="P193" s="9" t="n"/>
    </row>
    <row r="194">
      <c r="A194" s="8" t="n"/>
      <c r="B194" s="9" t="n"/>
      <c r="C194" s="9" t="n"/>
      <c r="D194" s="10" t="n"/>
      <c r="E194" s="10" t="n"/>
      <c r="F194" s="10" t="n"/>
      <c r="G194" s="9" t="n"/>
      <c r="H194" s="11" t="n"/>
      <c r="I194" s="12" t="n"/>
      <c r="J194" s="13">
        <f>IF(OR(D194="",E194="",G194=""),"",ABS(D194-E194)*G194)</f>
        <v/>
      </c>
      <c r="K194" s="10" t="n"/>
      <c r="L194" s="13">
        <f>IF(OR(D194="",K194="",G194=""),"",IF(LOWER(C194)="short",(D194-K194)*G194,(K194-D194)*G194))</f>
        <v/>
      </c>
      <c r="M194" s="14">
        <f>IF(OR(L194="",J194="",J194=0),"",L194/J194)</f>
        <v/>
      </c>
      <c r="N194" s="9" t="n"/>
      <c r="O194" s="9" t="n"/>
      <c r="P194" s="9" t="n"/>
    </row>
    <row r="195">
      <c r="A195" s="8" t="n"/>
      <c r="B195" s="9" t="n"/>
      <c r="C195" s="9" t="n"/>
      <c r="D195" s="10" t="n"/>
      <c r="E195" s="10" t="n"/>
      <c r="F195" s="10" t="n"/>
      <c r="G195" s="9" t="n"/>
      <c r="H195" s="11" t="n"/>
      <c r="I195" s="12" t="n"/>
      <c r="J195" s="13">
        <f>IF(OR(D195="",E195="",G195=""),"",ABS(D195-E195)*G195)</f>
        <v/>
      </c>
      <c r="K195" s="10" t="n"/>
      <c r="L195" s="13">
        <f>IF(OR(D195="",K195="",G195=""),"",IF(LOWER(C195)="short",(D195-K195)*G195,(K195-D195)*G195))</f>
        <v/>
      </c>
      <c r="M195" s="14">
        <f>IF(OR(L195="",J195="",J195=0),"",L195/J195)</f>
        <v/>
      </c>
      <c r="N195" s="9" t="n"/>
      <c r="O195" s="9" t="n"/>
      <c r="P195" s="9" t="n"/>
    </row>
    <row r="196">
      <c r="A196" s="8" t="n"/>
      <c r="B196" s="9" t="n"/>
      <c r="C196" s="9" t="n"/>
      <c r="D196" s="10" t="n"/>
      <c r="E196" s="10" t="n"/>
      <c r="F196" s="10" t="n"/>
      <c r="G196" s="9" t="n"/>
      <c r="H196" s="11" t="n"/>
      <c r="I196" s="12" t="n"/>
      <c r="J196" s="13">
        <f>IF(OR(D196="",E196="",G196=""),"",ABS(D196-E196)*G196)</f>
        <v/>
      </c>
      <c r="K196" s="10" t="n"/>
      <c r="L196" s="13">
        <f>IF(OR(D196="",K196="",G196=""),"",IF(LOWER(C196)="short",(D196-K196)*G196,(K196-D196)*G196))</f>
        <v/>
      </c>
      <c r="M196" s="14">
        <f>IF(OR(L196="",J196="",J196=0),"",L196/J196)</f>
        <v/>
      </c>
      <c r="N196" s="9" t="n"/>
      <c r="O196" s="9" t="n"/>
      <c r="P196" s="9" t="n"/>
    </row>
    <row r="197">
      <c r="A197" s="8" t="n"/>
      <c r="B197" s="9" t="n"/>
      <c r="C197" s="9" t="n"/>
      <c r="D197" s="10" t="n"/>
      <c r="E197" s="10" t="n"/>
      <c r="F197" s="10" t="n"/>
      <c r="G197" s="9" t="n"/>
      <c r="H197" s="11" t="n"/>
      <c r="I197" s="12" t="n"/>
      <c r="J197" s="13">
        <f>IF(OR(D197="",E197="",G197=""),"",ABS(D197-E197)*G197)</f>
        <v/>
      </c>
      <c r="K197" s="10" t="n"/>
      <c r="L197" s="13">
        <f>IF(OR(D197="",K197="",G197=""),"",IF(LOWER(C197)="short",(D197-K197)*G197,(K197-D197)*G197))</f>
        <v/>
      </c>
      <c r="M197" s="14">
        <f>IF(OR(L197="",J197="",J197=0),"",L197/J197)</f>
        <v/>
      </c>
      <c r="N197" s="9" t="n"/>
      <c r="O197" s="9" t="n"/>
      <c r="P197" s="9" t="n"/>
    </row>
    <row r="198">
      <c r="A198" s="8" t="n"/>
      <c r="B198" s="9" t="n"/>
      <c r="C198" s="9" t="n"/>
      <c r="D198" s="10" t="n"/>
      <c r="E198" s="10" t="n"/>
      <c r="F198" s="10" t="n"/>
      <c r="G198" s="9" t="n"/>
      <c r="H198" s="11" t="n"/>
      <c r="I198" s="12" t="n"/>
      <c r="J198" s="13">
        <f>IF(OR(D198="",E198="",G198=""),"",ABS(D198-E198)*G198)</f>
        <v/>
      </c>
      <c r="K198" s="10" t="n"/>
      <c r="L198" s="13">
        <f>IF(OR(D198="",K198="",G198=""),"",IF(LOWER(C198)="short",(D198-K198)*G198,(K198-D198)*G198))</f>
        <v/>
      </c>
      <c r="M198" s="14">
        <f>IF(OR(L198="",J198="",J198=0),"",L198/J198)</f>
        <v/>
      </c>
      <c r="N198" s="9" t="n"/>
      <c r="O198" s="9" t="n"/>
      <c r="P198" s="9" t="n"/>
    </row>
    <row r="199">
      <c r="A199" s="8" t="n"/>
      <c r="B199" s="9" t="n"/>
      <c r="C199" s="9" t="n"/>
      <c r="D199" s="10" t="n"/>
      <c r="E199" s="10" t="n"/>
      <c r="F199" s="10" t="n"/>
      <c r="G199" s="9" t="n"/>
      <c r="H199" s="11" t="n"/>
      <c r="I199" s="12" t="n"/>
      <c r="J199" s="13">
        <f>IF(OR(D199="",E199="",G199=""),"",ABS(D199-E199)*G199)</f>
        <v/>
      </c>
      <c r="K199" s="10" t="n"/>
      <c r="L199" s="13">
        <f>IF(OR(D199="",K199="",G199=""),"",IF(LOWER(C199)="short",(D199-K199)*G199,(K199-D199)*G199))</f>
        <v/>
      </c>
      <c r="M199" s="14">
        <f>IF(OR(L199="",J199="",J199=0),"",L199/J199)</f>
        <v/>
      </c>
      <c r="N199" s="9" t="n"/>
      <c r="O199" s="9" t="n"/>
      <c r="P199" s="9" t="n"/>
    </row>
    <row r="200">
      <c r="A200" s="8" t="n"/>
      <c r="B200" s="9" t="n"/>
      <c r="C200" s="9" t="n"/>
      <c r="D200" s="10" t="n"/>
      <c r="E200" s="10" t="n"/>
      <c r="F200" s="10" t="n"/>
      <c r="G200" s="9" t="n"/>
      <c r="H200" s="11" t="n"/>
      <c r="I200" s="12" t="n"/>
      <c r="J200" s="13">
        <f>IF(OR(D200="",E200="",G200=""),"",ABS(D200-E200)*G200)</f>
        <v/>
      </c>
      <c r="K200" s="10" t="n"/>
      <c r="L200" s="13">
        <f>IF(OR(D200="",K200="",G200=""),"",IF(LOWER(C200)="short",(D200-K200)*G200,(K200-D200)*G200))</f>
        <v/>
      </c>
      <c r="M200" s="14">
        <f>IF(OR(L200="",J200="",J200=0),"",L200/J200)</f>
        <v/>
      </c>
      <c r="N200" s="9" t="n"/>
      <c r="O200" s="9" t="n"/>
      <c r="P200" s="9" t="n"/>
    </row>
    <row r="201">
      <c r="A201" s="8" t="n"/>
      <c r="B201" s="9" t="n"/>
      <c r="C201" s="9" t="n"/>
      <c r="D201" s="10" t="n"/>
      <c r="E201" s="10" t="n"/>
      <c r="F201" s="10" t="n"/>
      <c r="G201" s="9" t="n"/>
      <c r="H201" s="11" t="n"/>
      <c r="I201" s="12" t="n"/>
      <c r="J201" s="13">
        <f>IF(OR(D201="",E201="",G201=""),"",ABS(D201-E201)*G201)</f>
        <v/>
      </c>
      <c r="K201" s="10" t="n"/>
      <c r="L201" s="13">
        <f>IF(OR(D201="",K201="",G201=""),"",IF(LOWER(C201)="short",(D201-K201)*G201,(K201-D201)*G201))</f>
        <v/>
      </c>
      <c r="M201" s="14">
        <f>IF(OR(L201="",J201="",J201=0),"",L201/J201)</f>
        <v/>
      </c>
      <c r="N201" s="9" t="n"/>
      <c r="O201" s="9" t="n"/>
      <c r="P201" s="9" t="n"/>
    </row>
  </sheetData>
  <dataValidations count="2">
    <dataValidation sqref="C2:C201" showDropDown="0" showInputMessage="0" showErrorMessage="0" allowBlank="1" type="list">
      <formula1>"Long,Short"</formula1>
    </dataValidation>
    <dataValidation sqref="O2:O201" showDropDown="0" showInputMessage="0" showErrorMessage="0" allowBlank="1" type="list">
      <formula1>"Win,Loss,Breakeven,Open"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Trading Dashboard</t>
        </is>
      </c>
    </row>
    <row r="2">
      <c r="A2" s="2" t="inlineStr">
        <is>
          <t>Live stats computed from the Trade Log. Add rows there — this updates automatically.</t>
        </is>
      </c>
    </row>
    <row r="4">
      <c r="A4" s="15" t="inlineStr">
        <is>
          <t>Closed trades</t>
        </is>
      </c>
      <c r="B4" s="16">
        <f>COUNTIF('Trade Log'!O2:O201,"Win")+COUNTIF('Trade Log'!O2:O201,"Loss")+COUNTIF('Trade Log'!O2:O201,"Breakeven")</f>
        <v/>
      </c>
    </row>
    <row r="5">
      <c r="A5" s="15" t="inlineStr">
        <is>
          <t>Wins</t>
        </is>
      </c>
      <c r="B5" s="16">
        <f>COUNTIF('Trade Log'!O2:O201,"Win")</f>
        <v/>
      </c>
    </row>
    <row r="6">
      <c r="A6" s="15" t="inlineStr">
        <is>
          <t>Losses</t>
        </is>
      </c>
      <c r="B6" s="16">
        <f>COUNTIF('Trade Log'!O2:O201,"Loss")</f>
        <v/>
      </c>
    </row>
    <row r="7">
      <c r="A7" s="15" t="inlineStr">
        <is>
          <t>Breakeven</t>
        </is>
      </c>
      <c r="B7" s="16">
        <f>COUNTIF('Trade Log'!O2:O201,"Breakeven")</f>
        <v/>
      </c>
    </row>
    <row r="8">
      <c r="A8" s="15" t="inlineStr">
        <is>
          <t>Win rate</t>
        </is>
      </c>
      <c r="B8" s="17">
        <f>IFERROR(B3/B2,"")</f>
        <v/>
      </c>
    </row>
    <row r="9">
      <c r="A9" s="15" t="inlineStr">
        <is>
          <t>Average R-multiple (expectancy)</t>
        </is>
      </c>
      <c r="B9" s="18">
        <f>IFERROR(AVERAGE('Trade Log'!M2:M201),"")</f>
        <v/>
      </c>
    </row>
    <row r="10">
      <c r="A10" s="15" t="inlineStr">
        <is>
          <t>Total R</t>
        </is>
      </c>
      <c r="B10" s="18">
        <f>IFERROR(SUM('Trade Log'!M2:M201),"")</f>
        <v/>
      </c>
    </row>
    <row r="11">
      <c r="A11" s="15" t="inlineStr">
        <is>
          <t>Best trade (R)</t>
        </is>
      </c>
      <c r="B11" s="18">
        <f>IFERROR(MAX('Trade Log'!M2:M201),"")</f>
        <v/>
      </c>
    </row>
    <row r="12">
      <c r="A12" s="15" t="inlineStr">
        <is>
          <t>Worst trade (R)</t>
        </is>
      </c>
      <c r="B12" s="18">
        <f>IFERROR(MIN('Trade Log'!M2:M201),"")</f>
        <v/>
      </c>
    </row>
    <row r="13">
      <c r="A13" s="15" t="inlineStr">
        <is>
          <t>Total P/L ($)</t>
        </is>
      </c>
      <c r="B13" s="13">
        <f>IFERROR(SUM('Trade Log'!L2:L201),"")</f>
        <v/>
      </c>
    </row>
    <row r="16" ht="30" customHeight="1">
      <c r="A16" s="19" t="inlineStr">
        <is>
          <t>Reminder: a positive expectancy (average R above 0) across a meaningful sample is what makes a strategy worth trading — not any single winning trade.</t>
        </is>
      </c>
    </row>
  </sheetData>
  <mergeCells count="1"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30" customWidth="1" min="11" max="11"/>
    <col width="20" customWidth="1" min="14" max="14"/>
    <col width="14" customWidth="1" min="15" max="15"/>
  </cols>
  <sheetData>
    <row r="1">
      <c r="A1" s="7" t="inlineStr">
        <is>
          <t>Date</t>
        </is>
      </c>
      <c r="B1" s="7" t="inlineStr">
        <is>
          <t>Pair</t>
        </is>
      </c>
      <c r="C1" s="7" t="inlineStr">
        <is>
          <t>Playbook / setup</t>
        </is>
      </c>
      <c r="D1" s="7" t="inlineStr">
        <is>
          <t>Direction</t>
        </is>
      </c>
      <c r="E1" s="7" t="inlineStr">
        <is>
          <t>Entry</t>
        </is>
      </c>
      <c r="F1" s="7" t="inlineStr">
        <is>
          <t>Stop</t>
        </is>
      </c>
      <c r="G1" s="7" t="inlineStr">
        <is>
          <t>Target</t>
        </is>
      </c>
      <c r="H1" s="7" t="inlineStr">
        <is>
          <t>Planned R</t>
        </is>
      </c>
      <c r="I1" s="7" t="inlineStr">
        <is>
          <t>Outcome</t>
        </is>
      </c>
      <c r="J1" s="7" t="inlineStr">
        <is>
          <t>R achieved</t>
        </is>
      </c>
      <c r="K1" s="7" t="inlineStr">
        <is>
          <t>Notes</t>
        </is>
      </c>
      <c r="N1" s="3" t="inlineStr">
        <is>
          <t>Backtest summary</t>
        </is>
      </c>
    </row>
    <row r="2">
      <c r="A2" s="8" t="n"/>
      <c r="B2" s="9" t="n"/>
      <c r="C2" s="9" t="n"/>
      <c r="D2" s="9" t="n"/>
      <c r="E2" s="10" t="n"/>
      <c r="F2" s="10" t="n"/>
      <c r="G2" s="10" t="n"/>
      <c r="H2" s="9" t="n"/>
      <c r="I2" s="9" t="n"/>
      <c r="J2" s="14">
        <f>IF(I2="","",IF(LOWER(I2)="win",H2,IF(LOWER(I2)="loss",-1,IF(LOWER(I2)="breakeven",0,""))))</f>
        <v/>
      </c>
      <c r="K2" s="9" t="n"/>
      <c r="N2" s="15" t="inlineStr">
        <is>
          <t>Trades logged</t>
        </is>
      </c>
      <c r="O2" s="16">
        <f>COUNTIF(I2:I201,"Win")+COUNTIF(I2:I201,"Loss")+COUNTIF(I2:I201,"Breakeven")</f>
        <v/>
      </c>
    </row>
    <row r="3">
      <c r="A3" s="8" t="n"/>
      <c r="B3" s="9" t="n"/>
      <c r="C3" s="9" t="n"/>
      <c r="D3" s="9" t="n"/>
      <c r="E3" s="10" t="n"/>
      <c r="F3" s="10" t="n"/>
      <c r="G3" s="10" t="n"/>
      <c r="H3" s="9" t="n"/>
      <c r="I3" s="9" t="n"/>
      <c r="J3" s="14">
        <f>IF(I3="","",IF(LOWER(I3)="win",H3,IF(LOWER(I3)="loss",-1,IF(LOWER(I3)="breakeven",0,""))))</f>
        <v/>
      </c>
      <c r="K3" s="9" t="n"/>
      <c r="N3" s="15" t="inlineStr">
        <is>
          <t>Win rate</t>
        </is>
      </c>
      <c r="O3" s="17">
        <f>IFERROR((COUNTIF(I2:I201,"Win"))/(COUNTIF(I2:I201,"Win")+COUNTIF(I2:I201,"Loss")+COUNTIF(I2:I201,"Breakeven")),"")</f>
        <v/>
      </c>
    </row>
    <row r="4">
      <c r="A4" s="8" t="n"/>
      <c r="B4" s="9" t="n"/>
      <c r="C4" s="9" t="n"/>
      <c r="D4" s="9" t="n"/>
      <c r="E4" s="10" t="n"/>
      <c r="F4" s="10" t="n"/>
      <c r="G4" s="10" t="n"/>
      <c r="H4" s="9" t="n"/>
      <c r="I4" s="9" t="n"/>
      <c r="J4" s="14">
        <f>IF(I4="","",IF(LOWER(I4)="win",H4,IF(LOWER(I4)="loss",-1,IF(LOWER(I4)="breakeven",0,""))))</f>
        <v/>
      </c>
      <c r="K4" s="9" t="n"/>
      <c r="N4" s="15" t="inlineStr">
        <is>
          <t>Expectancy (avg R)</t>
        </is>
      </c>
      <c r="O4" s="18">
        <f>IFERROR(AVERAGE(J2:J201),"")</f>
        <v/>
      </c>
    </row>
    <row r="5">
      <c r="A5" s="8" t="n"/>
      <c r="B5" s="9" t="n"/>
      <c r="C5" s="9" t="n"/>
      <c r="D5" s="9" t="n"/>
      <c r="E5" s="10" t="n"/>
      <c r="F5" s="10" t="n"/>
      <c r="G5" s="10" t="n"/>
      <c r="H5" s="9" t="n"/>
      <c r="I5" s="9" t="n"/>
      <c r="J5" s="14">
        <f>IF(I5="","",IF(LOWER(I5)="win",H5,IF(LOWER(I5)="loss",-1,IF(LOWER(I5)="breakeven",0,""))))</f>
        <v/>
      </c>
      <c r="K5" s="9" t="n"/>
      <c r="N5" s="15" t="inlineStr">
        <is>
          <t>Total R</t>
        </is>
      </c>
      <c r="O5" s="18">
        <f>IFERROR(SUM(J2:J201),"")</f>
        <v/>
      </c>
    </row>
    <row r="6">
      <c r="A6" s="8" t="n"/>
      <c r="B6" s="9" t="n"/>
      <c r="C6" s="9" t="n"/>
      <c r="D6" s="9" t="n"/>
      <c r="E6" s="10" t="n"/>
      <c r="F6" s="10" t="n"/>
      <c r="G6" s="10" t="n"/>
      <c r="H6" s="9" t="n"/>
      <c r="I6" s="9" t="n"/>
      <c r="J6" s="14">
        <f>IF(I6="","",IF(LOWER(I6)="win",H6,IF(LOWER(I6)="loss",-1,IF(LOWER(I6)="breakeven",0,""))))</f>
        <v/>
      </c>
      <c r="K6" s="9" t="n"/>
    </row>
    <row r="7">
      <c r="A7" s="8" t="n"/>
      <c r="B7" s="9" t="n"/>
      <c r="C7" s="9" t="n"/>
      <c r="D7" s="9" t="n"/>
      <c r="E7" s="10" t="n"/>
      <c r="F7" s="10" t="n"/>
      <c r="G7" s="10" t="n"/>
      <c r="H7" s="9" t="n"/>
      <c r="I7" s="9" t="n"/>
      <c r="J7" s="14">
        <f>IF(I7="","",IF(LOWER(I7)="win",H7,IF(LOWER(I7)="loss",-1,IF(LOWER(I7)="breakeven",0,""))))</f>
        <v/>
      </c>
      <c r="K7" s="9" t="n"/>
    </row>
    <row r="8">
      <c r="A8" s="8" t="n"/>
      <c r="B8" s="9" t="n"/>
      <c r="C8" s="9" t="n"/>
      <c r="D8" s="9" t="n"/>
      <c r="E8" s="10" t="n"/>
      <c r="F8" s="10" t="n"/>
      <c r="G8" s="10" t="n"/>
      <c r="H8" s="9" t="n"/>
      <c r="I8" s="9" t="n"/>
      <c r="J8" s="14">
        <f>IF(I8="","",IF(LOWER(I8)="win",H8,IF(LOWER(I8)="loss",-1,IF(LOWER(I8)="breakeven",0,""))))</f>
        <v/>
      </c>
      <c r="K8" s="9" t="n"/>
    </row>
    <row r="9">
      <c r="A9" s="8" t="n"/>
      <c r="B9" s="9" t="n"/>
      <c r="C9" s="9" t="n"/>
      <c r="D9" s="9" t="n"/>
      <c r="E9" s="10" t="n"/>
      <c r="F9" s="10" t="n"/>
      <c r="G9" s="10" t="n"/>
      <c r="H9" s="9" t="n"/>
      <c r="I9" s="9" t="n"/>
      <c r="J9" s="14">
        <f>IF(I9="","",IF(LOWER(I9)="win",H9,IF(LOWER(I9)="loss",-1,IF(LOWER(I9)="breakeven",0,""))))</f>
        <v/>
      </c>
      <c r="K9" s="9" t="n"/>
    </row>
    <row r="10">
      <c r="A10" s="8" t="n"/>
      <c r="B10" s="9" t="n"/>
      <c r="C10" s="9" t="n"/>
      <c r="D10" s="9" t="n"/>
      <c r="E10" s="10" t="n"/>
      <c r="F10" s="10" t="n"/>
      <c r="G10" s="10" t="n"/>
      <c r="H10" s="9" t="n"/>
      <c r="I10" s="9" t="n"/>
      <c r="J10" s="14">
        <f>IF(I10="","",IF(LOWER(I10)="win",H10,IF(LOWER(I10)="loss",-1,IF(LOWER(I10)="breakeven",0,""))))</f>
        <v/>
      </c>
      <c r="K10" s="9" t="n"/>
    </row>
    <row r="11">
      <c r="A11" s="8" t="n"/>
      <c r="B11" s="9" t="n"/>
      <c r="C11" s="9" t="n"/>
      <c r="D11" s="9" t="n"/>
      <c r="E11" s="10" t="n"/>
      <c r="F11" s="10" t="n"/>
      <c r="G11" s="10" t="n"/>
      <c r="H11" s="9" t="n"/>
      <c r="I11" s="9" t="n"/>
      <c r="J11" s="14">
        <f>IF(I11="","",IF(LOWER(I11)="win",H11,IF(LOWER(I11)="loss",-1,IF(LOWER(I11)="breakeven",0,""))))</f>
        <v/>
      </c>
      <c r="K11" s="9" t="n"/>
    </row>
    <row r="12">
      <c r="A12" s="8" t="n"/>
      <c r="B12" s="9" t="n"/>
      <c r="C12" s="9" t="n"/>
      <c r="D12" s="9" t="n"/>
      <c r="E12" s="10" t="n"/>
      <c r="F12" s="10" t="n"/>
      <c r="G12" s="10" t="n"/>
      <c r="H12" s="9" t="n"/>
      <c r="I12" s="9" t="n"/>
      <c r="J12" s="14">
        <f>IF(I12="","",IF(LOWER(I12)="win",H12,IF(LOWER(I12)="loss",-1,IF(LOWER(I12)="breakeven",0,""))))</f>
        <v/>
      </c>
      <c r="K12" s="9" t="n"/>
    </row>
    <row r="13">
      <c r="A13" s="8" t="n"/>
      <c r="B13" s="9" t="n"/>
      <c r="C13" s="9" t="n"/>
      <c r="D13" s="9" t="n"/>
      <c r="E13" s="10" t="n"/>
      <c r="F13" s="10" t="n"/>
      <c r="G13" s="10" t="n"/>
      <c r="H13" s="9" t="n"/>
      <c r="I13" s="9" t="n"/>
      <c r="J13" s="14">
        <f>IF(I13="","",IF(LOWER(I13)="win",H13,IF(LOWER(I13)="loss",-1,IF(LOWER(I13)="breakeven",0,""))))</f>
        <v/>
      </c>
      <c r="K13" s="9" t="n"/>
    </row>
    <row r="14">
      <c r="A14" s="8" t="n"/>
      <c r="B14" s="9" t="n"/>
      <c r="C14" s="9" t="n"/>
      <c r="D14" s="9" t="n"/>
      <c r="E14" s="10" t="n"/>
      <c r="F14" s="10" t="n"/>
      <c r="G14" s="10" t="n"/>
      <c r="H14" s="9" t="n"/>
      <c r="I14" s="9" t="n"/>
      <c r="J14" s="14">
        <f>IF(I14="","",IF(LOWER(I14)="win",H14,IF(LOWER(I14)="loss",-1,IF(LOWER(I14)="breakeven",0,""))))</f>
        <v/>
      </c>
      <c r="K14" s="9" t="n"/>
    </row>
    <row r="15">
      <c r="A15" s="8" t="n"/>
      <c r="B15" s="9" t="n"/>
      <c r="C15" s="9" t="n"/>
      <c r="D15" s="9" t="n"/>
      <c r="E15" s="10" t="n"/>
      <c r="F15" s="10" t="n"/>
      <c r="G15" s="10" t="n"/>
      <c r="H15" s="9" t="n"/>
      <c r="I15" s="9" t="n"/>
      <c r="J15" s="14">
        <f>IF(I15="","",IF(LOWER(I15)="win",H15,IF(LOWER(I15)="loss",-1,IF(LOWER(I15)="breakeven",0,""))))</f>
        <v/>
      </c>
      <c r="K15" s="9" t="n"/>
    </row>
    <row r="16">
      <c r="A16" s="8" t="n"/>
      <c r="B16" s="9" t="n"/>
      <c r="C16" s="9" t="n"/>
      <c r="D16" s="9" t="n"/>
      <c r="E16" s="10" t="n"/>
      <c r="F16" s="10" t="n"/>
      <c r="G16" s="10" t="n"/>
      <c r="H16" s="9" t="n"/>
      <c r="I16" s="9" t="n"/>
      <c r="J16" s="14">
        <f>IF(I16="","",IF(LOWER(I16)="win",H16,IF(LOWER(I16)="loss",-1,IF(LOWER(I16)="breakeven",0,""))))</f>
        <v/>
      </c>
      <c r="K16" s="9" t="n"/>
    </row>
    <row r="17">
      <c r="A17" s="8" t="n"/>
      <c r="B17" s="9" t="n"/>
      <c r="C17" s="9" t="n"/>
      <c r="D17" s="9" t="n"/>
      <c r="E17" s="10" t="n"/>
      <c r="F17" s="10" t="n"/>
      <c r="G17" s="10" t="n"/>
      <c r="H17" s="9" t="n"/>
      <c r="I17" s="9" t="n"/>
      <c r="J17" s="14">
        <f>IF(I17="","",IF(LOWER(I17)="win",H17,IF(LOWER(I17)="loss",-1,IF(LOWER(I17)="breakeven",0,""))))</f>
        <v/>
      </c>
      <c r="K17" s="9" t="n"/>
    </row>
    <row r="18">
      <c r="A18" s="8" t="n"/>
      <c r="B18" s="9" t="n"/>
      <c r="C18" s="9" t="n"/>
      <c r="D18" s="9" t="n"/>
      <c r="E18" s="10" t="n"/>
      <c r="F18" s="10" t="n"/>
      <c r="G18" s="10" t="n"/>
      <c r="H18" s="9" t="n"/>
      <c r="I18" s="9" t="n"/>
      <c r="J18" s="14">
        <f>IF(I18="","",IF(LOWER(I18)="win",H18,IF(LOWER(I18)="loss",-1,IF(LOWER(I18)="breakeven",0,""))))</f>
        <v/>
      </c>
      <c r="K18" s="9" t="n"/>
    </row>
    <row r="19">
      <c r="A19" s="8" t="n"/>
      <c r="B19" s="9" t="n"/>
      <c r="C19" s="9" t="n"/>
      <c r="D19" s="9" t="n"/>
      <c r="E19" s="10" t="n"/>
      <c r="F19" s="10" t="n"/>
      <c r="G19" s="10" t="n"/>
      <c r="H19" s="9" t="n"/>
      <c r="I19" s="9" t="n"/>
      <c r="J19" s="14">
        <f>IF(I19="","",IF(LOWER(I19)="win",H19,IF(LOWER(I19)="loss",-1,IF(LOWER(I19)="breakeven",0,""))))</f>
        <v/>
      </c>
      <c r="K19" s="9" t="n"/>
    </row>
    <row r="20">
      <c r="A20" s="8" t="n"/>
      <c r="B20" s="9" t="n"/>
      <c r="C20" s="9" t="n"/>
      <c r="D20" s="9" t="n"/>
      <c r="E20" s="10" t="n"/>
      <c r="F20" s="10" t="n"/>
      <c r="G20" s="10" t="n"/>
      <c r="H20" s="9" t="n"/>
      <c r="I20" s="9" t="n"/>
      <c r="J20" s="14">
        <f>IF(I20="","",IF(LOWER(I20)="win",H20,IF(LOWER(I20)="loss",-1,IF(LOWER(I20)="breakeven",0,""))))</f>
        <v/>
      </c>
      <c r="K20" s="9" t="n"/>
    </row>
    <row r="21">
      <c r="A21" s="8" t="n"/>
      <c r="B21" s="9" t="n"/>
      <c r="C21" s="9" t="n"/>
      <c r="D21" s="9" t="n"/>
      <c r="E21" s="10" t="n"/>
      <c r="F21" s="10" t="n"/>
      <c r="G21" s="10" t="n"/>
      <c r="H21" s="9" t="n"/>
      <c r="I21" s="9" t="n"/>
      <c r="J21" s="14">
        <f>IF(I21="","",IF(LOWER(I21)="win",H21,IF(LOWER(I21)="loss",-1,IF(LOWER(I21)="breakeven",0,""))))</f>
        <v/>
      </c>
      <c r="K21" s="9" t="n"/>
    </row>
    <row r="22">
      <c r="A22" s="8" t="n"/>
      <c r="B22" s="9" t="n"/>
      <c r="C22" s="9" t="n"/>
      <c r="D22" s="9" t="n"/>
      <c r="E22" s="10" t="n"/>
      <c r="F22" s="10" t="n"/>
      <c r="G22" s="10" t="n"/>
      <c r="H22" s="9" t="n"/>
      <c r="I22" s="9" t="n"/>
      <c r="J22" s="14">
        <f>IF(I22="","",IF(LOWER(I22)="win",H22,IF(LOWER(I22)="loss",-1,IF(LOWER(I22)="breakeven",0,""))))</f>
        <v/>
      </c>
      <c r="K22" s="9" t="n"/>
    </row>
    <row r="23">
      <c r="A23" s="8" t="n"/>
      <c r="B23" s="9" t="n"/>
      <c r="C23" s="9" t="n"/>
      <c r="D23" s="9" t="n"/>
      <c r="E23" s="10" t="n"/>
      <c r="F23" s="10" t="n"/>
      <c r="G23" s="10" t="n"/>
      <c r="H23" s="9" t="n"/>
      <c r="I23" s="9" t="n"/>
      <c r="J23" s="14">
        <f>IF(I23="","",IF(LOWER(I23)="win",H23,IF(LOWER(I23)="loss",-1,IF(LOWER(I23)="breakeven",0,""))))</f>
        <v/>
      </c>
      <c r="K23" s="9" t="n"/>
    </row>
    <row r="24">
      <c r="A24" s="8" t="n"/>
      <c r="B24" s="9" t="n"/>
      <c r="C24" s="9" t="n"/>
      <c r="D24" s="9" t="n"/>
      <c r="E24" s="10" t="n"/>
      <c r="F24" s="10" t="n"/>
      <c r="G24" s="10" t="n"/>
      <c r="H24" s="9" t="n"/>
      <c r="I24" s="9" t="n"/>
      <c r="J24" s="14">
        <f>IF(I24="","",IF(LOWER(I24)="win",H24,IF(LOWER(I24)="loss",-1,IF(LOWER(I24)="breakeven",0,""))))</f>
        <v/>
      </c>
      <c r="K24" s="9" t="n"/>
    </row>
    <row r="25">
      <c r="A25" s="8" t="n"/>
      <c r="B25" s="9" t="n"/>
      <c r="C25" s="9" t="n"/>
      <c r="D25" s="9" t="n"/>
      <c r="E25" s="10" t="n"/>
      <c r="F25" s="10" t="n"/>
      <c r="G25" s="10" t="n"/>
      <c r="H25" s="9" t="n"/>
      <c r="I25" s="9" t="n"/>
      <c r="J25" s="14">
        <f>IF(I25="","",IF(LOWER(I25)="win",H25,IF(LOWER(I25)="loss",-1,IF(LOWER(I25)="breakeven",0,""))))</f>
        <v/>
      </c>
      <c r="K25" s="9" t="n"/>
    </row>
    <row r="26">
      <c r="A26" s="8" t="n"/>
      <c r="B26" s="9" t="n"/>
      <c r="C26" s="9" t="n"/>
      <c r="D26" s="9" t="n"/>
      <c r="E26" s="10" t="n"/>
      <c r="F26" s="10" t="n"/>
      <c r="G26" s="10" t="n"/>
      <c r="H26" s="9" t="n"/>
      <c r="I26" s="9" t="n"/>
      <c r="J26" s="14">
        <f>IF(I26="","",IF(LOWER(I26)="win",H26,IF(LOWER(I26)="loss",-1,IF(LOWER(I26)="breakeven",0,""))))</f>
        <v/>
      </c>
      <c r="K26" s="9" t="n"/>
    </row>
    <row r="27">
      <c r="A27" s="8" t="n"/>
      <c r="B27" s="9" t="n"/>
      <c r="C27" s="9" t="n"/>
      <c r="D27" s="9" t="n"/>
      <c r="E27" s="10" t="n"/>
      <c r="F27" s="10" t="n"/>
      <c r="G27" s="10" t="n"/>
      <c r="H27" s="9" t="n"/>
      <c r="I27" s="9" t="n"/>
      <c r="J27" s="14">
        <f>IF(I27="","",IF(LOWER(I27)="win",H27,IF(LOWER(I27)="loss",-1,IF(LOWER(I27)="breakeven",0,""))))</f>
        <v/>
      </c>
      <c r="K27" s="9" t="n"/>
    </row>
    <row r="28">
      <c r="A28" s="8" t="n"/>
      <c r="B28" s="9" t="n"/>
      <c r="C28" s="9" t="n"/>
      <c r="D28" s="9" t="n"/>
      <c r="E28" s="10" t="n"/>
      <c r="F28" s="10" t="n"/>
      <c r="G28" s="10" t="n"/>
      <c r="H28" s="9" t="n"/>
      <c r="I28" s="9" t="n"/>
      <c r="J28" s="14">
        <f>IF(I28="","",IF(LOWER(I28)="win",H28,IF(LOWER(I28)="loss",-1,IF(LOWER(I28)="breakeven",0,""))))</f>
        <v/>
      </c>
      <c r="K28" s="9" t="n"/>
    </row>
    <row r="29">
      <c r="A29" s="8" t="n"/>
      <c r="B29" s="9" t="n"/>
      <c r="C29" s="9" t="n"/>
      <c r="D29" s="9" t="n"/>
      <c r="E29" s="10" t="n"/>
      <c r="F29" s="10" t="n"/>
      <c r="G29" s="10" t="n"/>
      <c r="H29" s="9" t="n"/>
      <c r="I29" s="9" t="n"/>
      <c r="J29" s="14">
        <f>IF(I29="","",IF(LOWER(I29)="win",H29,IF(LOWER(I29)="loss",-1,IF(LOWER(I29)="breakeven",0,""))))</f>
        <v/>
      </c>
      <c r="K29" s="9" t="n"/>
    </row>
    <row r="30">
      <c r="A30" s="8" t="n"/>
      <c r="B30" s="9" t="n"/>
      <c r="C30" s="9" t="n"/>
      <c r="D30" s="9" t="n"/>
      <c r="E30" s="10" t="n"/>
      <c r="F30" s="10" t="n"/>
      <c r="G30" s="10" t="n"/>
      <c r="H30" s="9" t="n"/>
      <c r="I30" s="9" t="n"/>
      <c r="J30" s="14">
        <f>IF(I30="","",IF(LOWER(I30)="win",H30,IF(LOWER(I30)="loss",-1,IF(LOWER(I30)="breakeven",0,""))))</f>
        <v/>
      </c>
      <c r="K30" s="9" t="n"/>
    </row>
    <row r="31">
      <c r="A31" s="8" t="n"/>
      <c r="B31" s="9" t="n"/>
      <c r="C31" s="9" t="n"/>
      <c r="D31" s="9" t="n"/>
      <c r="E31" s="10" t="n"/>
      <c r="F31" s="10" t="n"/>
      <c r="G31" s="10" t="n"/>
      <c r="H31" s="9" t="n"/>
      <c r="I31" s="9" t="n"/>
      <c r="J31" s="14">
        <f>IF(I31="","",IF(LOWER(I31)="win",H31,IF(LOWER(I31)="loss",-1,IF(LOWER(I31)="breakeven",0,""))))</f>
        <v/>
      </c>
      <c r="K31" s="9" t="n"/>
    </row>
    <row r="32">
      <c r="A32" s="8" t="n"/>
      <c r="B32" s="9" t="n"/>
      <c r="C32" s="9" t="n"/>
      <c r="D32" s="9" t="n"/>
      <c r="E32" s="10" t="n"/>
      <c r="F32" s="10" t="n"/>
      <c r="G32" s="10" t="n"/>
      <c r="H32" s="9" t="n"/>
      <c r="I32" s="9" t="n"/>
      <c r="J32" s="14">
        <f>IF(I32="","",IF(LOWER(I32)="win",H32,IF(LOWER(I32)="loss",-1,IF(LOWER(I32)="breakeven",0,""))))</f>
        <v/>
      </c>
      <c r="K32" s="9" t="n"/>
    </row>
    <row r="33">
      <c r="A33" s="8" t="n"/>
      <c r="B33" s="9" t="n"/>
      <c r="C33" s="9" t="n"/>
      <c r="D33" s="9" t="n"/>
      <c r="E33" s="10" t="n"/>
      <c r="F33" s="10" t="n"/>
      <c r="G33" s="10" t="n"/>
      <c r="H33" s="9" t="n"/>
      <c r="I33" s="9" t="n"/>
      <c r="J33" s="14">
        <f>IF(I33="","",IF(LOWER(I33)="win",H33,IF(LOWER(I33)="loss",-1,IF(LOWER(I33)="breakeven",0,""))))</f>
        <v/>
      </c>
      <c r="K33" s="9" t="n"/>
    </row>
    <row r="34">
      <c r="A34" s="8" t="n"/>
      <c r="B34" s="9" t="n"/>
      <c r="C34" s="9" t="n"/>
      <c r="D34" s="9" t="n"/>
      <c r="E34" s="10" t="n"/>
      <c r="F34" s="10" t="n"/>
      <c r="G34" s="10" t="n"/>
      <c r="H34" s="9" t="n"/>
      <c r="I34" s="9" t="n"/>
      <c r="J34" s="14">
        <f>IF(I34="","",IF(LOWER(I34)="win",H34,IF(LOWER(I34)="loss",-1,IF(LOWER(I34)="breakeven",0,""))))</f>
        <v/>
      </c>
      <c r="K34" s="9" t="n"/>
    </row>
    <row r="35">
      <c r="A35" s="8" t="n"/>
      <c r="B35" s="9" t="n"/>
      <c r="C35" s="9" t="n"/>
      <c r="D35" s="9" t="n"/>
      <c r="E35" s="10" t="n"/>
      <c r="F35" s="10" t="n"/>
      <c r="G35" s="10" t="n"/>
      <c r="H35" s="9" t="n"/>
      <c r="I35" s="9" t="n"/>
      <c r="J35" s="14">
        <f>IF(I35="","",IF(LOWER(I35)="win",H35,IF(LOWER(I35)="loss",-1,IF(LOWER(I35)="breakeven",0,""))))</f>
        <v/>
      </c>
      <c r="K35" s="9" t="n"/>
    </row>
    <row r="36">
      <c r="A36" s="8" t="n"/>
      <c r="B36" s="9" t="n"/>
      <c r="C36" s="9" t="n"/>
      <c r="D36" s="9" t="n"/>
      <c r="E36" s="10" t="n"/>
      <c r="F36" s="10" t="n"/>
      <c r="G36" s="10" t="n"/>
      <c r="H36" s="9" t="n"/>
      <c r="I36" s="9" t="n"/>
      <c r="J36" s="14">
        <f>IF(I36="","",IF(LOWER(I36)="win",H36,IF(LOWER(I36)="loss",-1,IF(LOWER(I36)="breakeven",0,""))))</f>
        <v/>
      </c>
      <c r="K36" s="9" t="n"/>
    </row>
    <row r="37">
      <c r="A37" s="8" t="n"/>
      <c r="B37" s="9" t="n"/>
      <c r="C37" s="9" t="n"/>
      <c r="D37" s="9" t="n"/>
      <c r="E37" s="10" t="n"/>
      <c r="F37" s="10" t="n"/>
      <c r="G37" s="10" t="n"/>
      <c r="H37" s="9" t="n"/>
      <c r="I37" s="9" t="n"/>
      <c r="J37" s="14">
        <f>IF(I37="","",IF(LOWER(I37)="win",H37,IF(LOWER(I37)="loss",-1,IF(LOWER(I37)="breakeven",0,""))))</f>
        <v/>
      </c>
      <c r="K37" s="9" t="n"/>
    </row>
    <row r="38">
      <c r="A38" s="8" t="n"/>
      <c r="B38" s="9" t="n"/>
      <c r="C38" s="9" t="n"/>
      <c r="D38" s="9" t="n"/>
      <c r="E38" s="10" t="n"/>
      <c r="F38" s="10" t="n"/>
      <c r="G38" s="10" t="n"/>
      <c r="H38" s="9" t="n"/>
      <c r="I38" s="9" t="n"/>
      <c r="J38" s="14">
        <f>IF(I38="","",IF(LOWER(I38)="win",H38,IF(LOWER(I38)="loss",-1,IF(LOWER(I38)="breakeven",0,""))))</f>
        <v/>
      </c>
      <c r="K38" s="9" t="n"/>
    </row>
    <row r="39">
      <c r="A39" s="8" t="n"/>
      <c r="B39" s="9" t="n"/>
      <c r="C39" s="9" t="n"/>
      <c r="D39" s="9" t="n"/>
      <c r="E39" s="10" t="n"/>
      <c r="F39" s="10" t="n"/>
      <c r="G39" s="10" t="n"/>
      <c r="H39" s="9" t="n"/>
      <c r="I39" s="9" t="n"/>
      <c r="J39" s="14">
        <f>IF(I39="","",IF(LOWER(I39)="win",H39,IF(LOWER(I39)="loss",-1,IF(LOWER(I39)="breakeven",0,""))))</f>
        <v/>
      </c>
      <c r="K39" s="9" t="n"/>
    </row>
    <row r="40">
      <c r="A40" s="8" t="n"/>
      <c r="B40" s="9" t="n"/>
      <c r="C40" s="9" t="n"/>
      <c r="D40" s="9" t="n"/>
      <c r="E40" s="10" t="n"/>
      <c r="F40" s="10" t="n"/>
      <c r="G40" s="10" t="n"/>
      <c r="H40" s="9" t="n"/>
      <c r="I40" s="9" t="n"/>
      <c r="J40" s="14">
        <f>IF(I40="","",IF(LOWER(I40)="win",H40,IF(LOWER(I40)="loss",-1,IF(LOWER(I40)="breakeven",0,""))))</f>
        <v/>
      </c>
      <c r="K40" s="9" t="n"/>
    </row>
    <row r="41">
      <c r="A41" s="8" t="n"/>
      <c r="B41" s="9" t="n"/>
      <c r="C41" s="9" t="n"/>
      <c r="D41" s="9" t="n"/>
      <c r="E41" s="10" t="n"/>
      <c r="F41" s="10" t="n"/>
      <c r="G41" s="10" t="n"/>
      <c r="H41" s="9" t="n"/>
      <c r="I41" s="9" t="n"/>
      <c r="J41" s="14">
        <f>IF(I41="","",IF(LOWER(I41)="win",H41,IF(LOWER(I41)="loss",-1,IF(LOWER(I41)="breakeven",0,""))))</f>
        <v/>
      </c>
      <c r="K41" s="9" t="n"/>
    </row>
    <row r="42">
      <c r="A42" s="8" t="n"/>
      <c r="B42" s="9" t="n"/>
      <c r="C42" s="9" t="n"/>
      <c r="D42" s="9" t="n"/>
      <c r="E42" s="10" t="n"/>
      <c r="F42" s="10" t="n"/>
      <c r="G42" s="10" t="n"/>
      <c r="H42" s="9" t="n"/>
      <c r="I42" s="9" t="n"/>
      <c r="J42" s="14">
        <f>IF(I42="","",IF(LOWER(I42)="win",H42,IF(LOWER(I42)="loss",-1,IF(LOWER(I42)="breakeven",0,""))))</f>
        <v/>
      </c>
      <c r="K42" s="9" t="n"/>
    </row>
    <row r="43">
      <c r="A43" s="8" t="n"/>
      <c r="B43" s="9" t="n"/>
      <c r="C43" s="9" t="n"/>
      <c r="D43" s="9" t="n"/>
      <c r="E43" s="10" t="n"/>
      <c r="F43" s="10" t="n"/>
      <c r="G43" s="10" t="n"/>
      <c r="H43" s="9" t="n"/>
      <c r="I43" s="9" t="n"/>
      <c r="J43" s="14">
        <f>IF(I43="","",IF(LOWER(I43)="win",H43,IF(LOWER(I43)="loss",-1,IF(LOWER(I43)="breakeven",0,""))))</f>
        <v/>
      </c>
      <c r="K43" s="9" t="n"/>
    </row>
    <row r="44">
      <c r="A44" s="8" t="n"/>
      <c r="B44" s="9" t="n"/>
      <c r="C44" s="9" t="n"/>
      <c r="D44" s="9" t="n"/>
      <c r="E44" s="10" t="n"/>
      <c r="F44" s="10" t="n"/>
      <c r="G44" s="10" t="n"/>
      <c r="H44" s="9" t="n"/>
      <c r="I44" s="9" t="n"/>
      <c r="J44" s="14">
        <f>IF(I44="","",IF(LOWER(I44)="win",H44,IF(LOWER(I44)="loss",-1,IF(LOWER(I44)="breakeven",0,""))))</f>
        <v/>
      </c>
      <c r="K44" s="9" t="n"/>
    </row>
    <row r="45">
      <c r="A45" s="8" t="n"/>
      <c r="B45" s="9" t="n"/>
      <c r="C45" s="9" t="n"/>
      <c r="D45" s="9" t="n"/>
      <c r="E45" s="10" t="n"/>
      <c r="F45" s="10" t="n"/>
      <c r="G45" s="10" t="n"/>
      <c r="H45" s="9" t="n"/>
      <c r="I45" s="9" t="n"/>
      <c r="J45" s="14">
        <f>IF(I45="","",IF(LOWER(I45)="win",H45,IF(LOWER(I45)="loss",-1,IF(LOWER(I45)="breakeven",0,""))))</f>
        <v/>
      </c>
      <c r="K45" s="9" t="n"/>
    </row>
    <row r="46">
      <c r="A46" s="8" t="n"/>
      <c r="B46" s="9" t="n"/>
      <c r="C46" s="9" t="n"/>
      <c r="D46" s="9" t="n"/>
      <c r="E46" s="10" t="n"/>
      <c r="F46" s="10" t="n"/>
      <c r="G46" s="10" t="n"/>
      <c r="H46" s="9" t="n"/>
      <c r="I46" s="9" t="n"/>
      <c r="J46" s="14">
        <f>IF(I46="","",IF(LOWER(I46)="win",H46,IF(LOWER(I46)="loss",-1,IF(LOWER(I46)="breakeven",0,""))))</f>
        <v/>
      </c>
      <c r="K46" s="9" t="n"/>
    </row>
    <row r="47">
      <c r="A47" s="8" t="n"/>
      <c r="B47" s="9" t="n"/>
      <c r="C47" s="9" t="n"/>
      <c r="D47" s="9" t="n"/>
      <c r="E47" s="10" t="n"/>
      <c r="F47" s="10" t="n"/>
      <c r="G47" s="10" t="n"/>
      <c r="H47" s="9" t="n"/>
      <c r="I47" s="9" t="n"/>
      <c r="J47" s="14">
        <f>IF(I47="","",IF(LOWER(I47)="win",H47,IF(LOWER(I47)="loss",-1,IF(LOWER(I47)="breakeven",0,""))))</f>
        <v/>
      </c>
      <c r="K47" s="9" t="n"/>
    </row>
    <row r="48">
      <c r="A48" s="8" t="n"/>
      <c r="B48" s="9" t="n"/>
      <c r="C48" s="9" t="n"/>
      <c r="D48" s="9" t="n"/>
      <c r="E48" s="10" t="n"/>
      <c r="F48" s="10" t="n"/>
      <c r="G48" s="10" t="n"/>
      <c r="H48" s="9" t="n"/>
      <c r="I48" s="9" t="n"/>
      <c r="J48" s="14">
        <f>IF(I48="","",IF(LOWER(I48)="win",H48,IF(LOWER(I48)="loss",-1,IF(LOWER(I48)="breakeven",0,""))))</f>
        <v/>
      </c>
      <c r="K48" s="9" t="n"/>
    </row>
    <row r="49">
      <c r="A49" s="8" t="n"/>
      <c r="B49" s="9" t="n"/>
      <c r="C49" s="9" t="n"/>
      <c r="D49" s="9" t="n"/>
      <c r="E49" s="10" t="n"/>
      <c r="F49" s="10" t="n"/>
      <c r="G49" s="10" t="n"/>
      <c r="H49" s="9" t="n"/>
      <c r="I49" s="9" t="n"/>
      <c r="J49" s="14">
        <f>IF(I49="","",IF(LOWER(I49)="win",H49,IF(LOWER(I49)="loss",-1,IF(LOWER(I49)="breakeven",0,""))))</f>
        <v/>
      </c>
      <c r="K49" s="9" t="n"/>
    </row>
    <row r="50">
      <c r="A50" s="8" t="n"/>
      <c r="B50" s="9" t="n"/>
      <c r="C50" s="9" t="n"/>
      <c r="D50" s="9" t="n"/>
      <c r="E50" s="10" t="n"/>
      <c r="F50" s="10" t="n"/>
      <c r="G50" s="10" t="n"/>
      <c r="H50" s="9" t="n"/>
      <c r="I50" s="9" t="n"/>
      <c r="J50" s="14">
        <f>IF(I50="","",IF(LOWER(I50)="win",H50,IF(LOWER(I50)="loss",-1,IF(LOWER(I50)="breakeven",0,""))))</f>
        <v/>
      </c>
      <c r="K50" s="9" t="n"/>
    </row>
    <row r="51">
      <c r="A51" s="8" t="n"/>
      <c r="B51" s="9" t="n"/>
      <c r="C51" s="9" t="n"/>
      <c r="D51" s="9" t="n"/>
      <c r="E51" s="10" t="n"/>
      <c r="F51" s="10" t="n"/>
      <c r="G51" s="10" t="n"/>
      <c r="H51" s="9" t="n"/>
      <c r="I51" s="9" t="n"/>
      <c r="J51" s="14">
        <f>IF(I51="","",IF(LOWER(I51)="win",H51,IF(LOWER(I51)="loss",-1,IF(LOWER(I51)="breakeven",0,""))))</f>
        <v/>
      </c>
      <c r="K51" s="9" t="n"/>
    </row>
    <row r="52">
      <c r="A52" s="8" t="n"/>
      <c r="B52" s="9" t="n"/>
      <c r="C52" s="9" t="n"/>
      <c r="D52" s="9" t="n"/>
      <c r="E52" s="10" t="n"/>
      <c r="F52" s="10" t="n"/>
      <c r="G52" s="10" t="n"/>
      <c r="H52" s="9" t="n"/>
      <c r="I52" s="9" t="n"/>
      <c r="J52" s="14">
        <f>IF(I52="","",IF(LOWER(I52)="win",H52,IF(LOWER(I52)="loss",-1,IF(LOWER(I52)="breakeven",0,""))))</f>
        <v/>
      </c>
      <c r="K52" s="9" t="n"/>
    </row>
    <row r="53">
      <c r="A53" s="8" t="n"/>
      <c r="B53" s="9" t="n"/>
      <c r="C53" s="9" t="n"/>
      <c r="D53" s="9" t="n"/>
      <c r="E53" s="10" t="n"/>
      <c r="F53" s="10" t="n"/>
      <c r="G53" s="10" t="n"/>
      <c r="H53" s="9" t="n"/>
      <c r="I53" s="9" t="n"/>
      <c r="J53" s="14">
        <f>IF(I53="","",IF(LOWER(I53)="win",H53,IF(LOWER(I53)="loss",-1,IF(LOWER(I53)="breakeven",0,""))))</f>
        <v/>
      </c>
      <c r="K53" s="9" t="n"/>
    </row>
    <row r="54">
      <c r="A54" s="8" t="n"/>
      <c r="B54" s="9" t="n"/>
      <c r="C54" s="9" t="n"/>
      <c r="D54" s="9" t="n"/>
      <c r="E54" s="10" t="n"/>
      <c r="F54" s="10" t="n"/>
      <c r="G54" s="10" t="n"/>
      <c r="H54" s="9" t="n"/>
      <c r="I54" s="9" t="n"/>
      <c r="J54" s="14">
        <f>IF(I54="","",IF(LOWER(I54)="win",H54,IF(LOWER(I54)="loss",-1,IF(LOWER(I54)="breakeven",0,""))))</f>
        <v/>
      </c>
      <c r="K54" s="9" t="n"/>
    </row>
    <row r="55">
      <c r="A55" s="8" t="n"/>
      <c r="B55" s="9" t="n"/>
      <c r="C55" s="9" t="n"/>
      <c r="D55" s="9" t="n"/>
      <c r="E55" s="10" t="n"/>
      <c r="F55" s="10" t="n"/>
      <c r="G55" s="10" t="n"/>
      <c r="H55" s="9" t="n"/>
      <c r="I55" s="9" t="n"/>
      <c r="J55" s="14">
        <f>IF(I55="","",IF(LOWER(I55)="win",H55,IF(LOWER(I55)="loss",-1,IF(LOWER(I55)="breakeven",0,""))))</f>
        <v/>
      </c>
      <c r="K55" s="9" t="n"/>
    </row>
    <row r="56">
      <c r="A56" s="8" t="n"/>
      <c r="B56" s="9" t="n"/>
      <c r="C56" s="9" t="n"/>
      <c r="D56" s="9" t="n"/>
      <c r="E56" s="10" t="n"/>
      <c r="F56" s="10" t="n"/>
      <c r="G56" s="10" t="n"/>
      <c r="H56" s="9" t="n"/>
      <c r="I56" s="9" t="n"/>
      <c r="J56" s="14">
        <f>IF(I56="","",IF(LOWER(I56)="win",H56,IF(LOWER(I56)="loss",-1,IF(LOWER(I56)="breakeven",0,""))))</f>
        <v/>
      </c>
      <c r="K56" s="9" t="n"/>
    </row>
    <row r="57">
      <c r="A57" s="8" t="n"/>
      <c r="B57" s="9" t="n"/>
      <c r="C57" s="9" t="n"/>
      <c r="D57" s="9" t="n"/>
      <c r="E57" s="10" t="n"/>
      <c r="F57" s="10" t="n"/>
      <c r="G57" s="10" t="n"/>
      <c r="H57" s="9" t="n"/>
      <c r="I57" s="9" t="n"/>
      <c r="J57" s="14">
        <f>IF(I57="","",IF(LOWER(I57)="win",H57,IF(LOWER(I57)="loss",-1,IF(LOWER(I57)="breakeven",0,""))))</f>
        <v/>
      </c>
      <c r="K57" s="9" t="n"/>
    </row>
    <row r="58">
      <c r="A58" s="8" t="n"/>
      <c r="B58" s="9" t="n"/>
      <c r="C58" s="9" t="n"/>
      <c r="D58" s="9" t="n"/>
      <c r="E58" s="10" t="n"/>
      <c r="F58" s="10" t="n"/>
      <c r="G58" s="10" t="n"/>
      <c r="H58" s="9" t="n"/>
      <c r="I58" s="9" t="n"/>
      <c r="J58" s="14">
        <f>IF(I58="","",IF(LOWER(I58)="win",H58,IF(LOWER(I58)="loss",-1,IF(LOWER(I58)="breakeven",0,""))))</f>
        <v/>
      </c>
      <c r="K58" s="9" t="n"/>
    </row>
    <row r="59">
      <c r="A59" s="8" t="n"/>
      <c r="B59" s="9" t="n"/>
      <c r="C59" s="9" t="n"/>
      <c r="D59" s="9" t="n"/>
      <c r="E59" s="10" t="n"/>
      <c r="F59" s="10" t="n"/>
      <c r="G59" s="10" t="n"/>
      <c r="H59" s="9" t="n"/>
      <c r="I59" s="9" t="n"/>
      <c r="J59" s="14">
        <f>IF(I59="","",IF(LOWER(I59)="win",H59,IF(LOWER(I59)="loss",-1,IF(LOWER(I59)="breakeven",0,""))))</f>
        <v/>
      </c>
      <c r="K59" s="9" t="n"/>
    </row>
    <row r="60">
      <c r="A60" s="8" t="n"/>
      <c r="B60" s="9" t="n"/>
      <c r="C60" s="9" t="n"/>
      <c r="D60" s="9" t="n"/>
      <c r="E60" s="10" t="n"/>
      <c r="F60" s="10" t="n"/>
      <c r="G60" s="10" t="n"/>
      <c r="H60" s="9" t="n"/>
      <c r="I60" s="9" t="n"/>
      <c r="J60" s="14">
        <f>IF(I60="","",IF(LOWER(I60)="win",H60,IF(LOWER(I60)="loss",-1,IF(LOWER(I60)="breakeven",0,""))))</f>
        <v/>
      </c>
      <c r="K60" s="9" t="n"/>
    </row>
    <row r="61">
      <c r="A61" s="8" t="n"/>
      <c r="B61" s="9" t="n"/>
      <c r="C61" s="9" t="n"/>
      <c r="D61" s="9" t="n"/>
      <c r="E61" s="10" t="n"/>
      <c r="F61" s="10" t="n"/>
      <c r="G61" s="10" t="n"/>
      <c r="H61" s="9" t="n"/>
      <c r="I61" s="9" t="n"/>
      <c r="J61" s="14">
        <f>IF(I61="","",IF(LOWER(I61)="win",H61,IF(LOWER(I61)="loss",-1,IF(LOWER(I61)="breakeven",0,""))))</f>
        <v/>
      </c>
      <c r="K61" s="9" t="n"/>
    </row>
    <row r="62">
      <c r="A62" s="8" t="n"/>
      <c r="B62" s="9" t="n"/>
      <c r="C62" s="9" t="n"/>
      <c r="D62" s="9" t="n"/>
      <c r="E62" s="10" t="n"/>
      <c r="F62" s="10" t="n"/>
      <c r="G62" s="10" t="n"/>
      <c r="H62" s="9" t="n"/>
      <c r="I62" s="9" t="n"/>
      <c r="J62" s="14">
        <f>IF(I62="","",IF(LOWER(I62)="win",H62,IF(LOWER(I62)="loss",-1,IF(LOWER(I62)="breakeven",0,""))))</f>
        <v/>
      </c>
      <c r="K62" s="9" t="n"/>
    </row>
    <row r="63">
      <c r="A63" s="8" t="n"/>
      <c r="B63" s="9" t="n"/>
      <c r="C63" s="9" t="n"/>
      <c r="D63" s="9" t="n"/>
      <c r="E63" s="10" t="n"/>
      <c r="F63" s="10" t="n"/>
      <c r="G63" s="10" t="n"/>
      <c r="H63" s="9" t="n"/>
      <c r="I63" s="9" t="n"/>
      <c r="J63" s="14">
        <f>IF(I63="","",IF(LOWER(I63)="win",H63,IF(LOWER(I63)="loss",-1,IF(LOWER(I63)="breakeven",0,""))))</f>
        <v/>
      </c>
      <c r="K63" s="9" t="n"/>
    </row>
    <row r="64">
      <c r="A64" s="8" t="n"/>
      <c r="B64" s="9" t="n"/>
      <c r="C64" s="9" t="n"/>
      <c r="D64" s="9" t="n"/>
      <c r="E64" s="10" t="n"/>
      <c r="F64" s="10" t="n"/>
      <c r="G64" s="10" t="n"/>
      <c r="H64" s="9" t="n"/>
      <c r="I64" s="9" t="n"/>
      <c r="J64" s="14">
        <f>IF(I64="","",IF(LOWER(I64)="win",H64,IF(LOWER(I64)="loss",-1,IF(LOWER(I64)="breakeven",0,""))))</f>
        <v/>
      </c>
      <c r="K64" s="9" t="n"/>
    </row>
    <row r="65">
      <c r="A65" s="8" t="n"/>
      <c r="B65" s="9" t="n"/>
      <c r="C65" s="9" t="n"/>
      <c r="D65" s="9" t="n"/>
      <c r="E65" s="10" t="n"/>
      <c r="F65" s="10" t="n"/>
      <c r="G65" s="10" t="n"/>
      <c r="H65" s="9" t="n"/>
      <c r="I65" s="9" t="n"/>
      <c r="J65" s="14">
        <f>IF(I65="","",IF(LOWER(I65)="win",H65,IF(LOWER(I65)="loss",-1,IF(LOWER(I65)="breakeven",0,""))))</f>
        <v/>
      </c>
      <c r="K65" s="9" t="n"/>
    </row>
    <row r="66">
      <c r="A66" s="8" t="n"/>
      <c r="B66" s="9" t="n"/>
      <c r="C66" s="9" t="n"/>
      <c r="D66" s="9" t="n"/>
      <c r="E66" s="10" t="n"/>
      <c r="F66" s="10" t="n"/>
      <c r="G66" s="10" t="n"/>
      <c r="H66" s="9" t="n"/>
      <c r="I66" s="9" t="n"/>
      <c r="J66" s="14">
        <f>IF(I66="","",IF(LOWER(I66)="win",H66,IF(LOWER(I66)="loss",-1,IF(LOWER(I66)="breakeven",0,""))))</f>
        <v/>
      </c>
      <c r="K66" s="9" t="n"/>
    </row>
    <row r="67">
      <c r="A67" s="8" t="n"/>
      <c r="B67" s="9" t="n"/>
      <c r="C67" s="9" t="n"/>
      <c r="D67" s="9" t="n"/>
      <c r="E67" s="10" t="n"/>
      <c r="F67" s="10" t="n"/>
      <c r="G67" s="10" t="n"/>
      <c r="H67" s="9" t="n"/>
      <c r="I67" s="9" t="n"/>
      <c r="J67" s="14">
        <f>IF(I67="","",IF(LOWER(I67)="win",H67,IF(LOWER(I67)="loss",-1,IF(LOWER(I67)="breakeven",0,""))))</f>
        <v/>
      </c>
      <c r="K67" s="9" t="n"/>
    </row>
    <row r="68">
      <c r="A68" s="8" t="n"/>
      <c r="B68" s="9" t="n"/>
      <c r="C68" s="9" t="n"/>
      <c r="D68" s="9" t="n"/>
      <c r="E68" s="10" t="n"/>
      <c r="F68" s="10" t="n"/>
      <c r="G68" s="10" t="n"/>
      <c r="H68" s="9" t="n"/>
      <c r="I68" s="9" t="n"/>
      <c r="J68" s="14">
        <f>IF(I68="","",IF(LOWER(I68)="win",H68,IF(LOWER(I68)="loss",-1,IF(LOWER(I68)="breakeven",0,""))))</f>
        <v/>
      </c>
      <c r="K68" s="9" t="n"/>
    </row>
    <row r="69">
      <c r="A69" s="8" t="n"/>
      <c r="B69" s="9" t="n"/>
      <c r="C69" s="9" t="n"/>
      <c r="D69" s="9" t="n"/>
      <c r="E69" s="10" t="n"/>
      <c r="F69" s="10" t="n"/>
      <c r="G69" s="10" t="n"/>
      <c r="H69" s="9" t="n"/>
      <c r="I69" s="9" t="n"/>
      <c r="J69" s="14">
        <f>IF(I69="","",IF(LOWER(I69)="win",H69,IF(LOWER(I69)="loss",-1,IF(LOWER(I69)="breakeven",0,""))))</f>
        <v/>
      </c>
      <c r="K69" s="9" t="n"/>
    </row>
    <row r="70">
      <c r="A70" s="8" t="n"/>
      <c r="B70" s="9" t="n"/>
      <c r="C70" s="9" t="n"/>
      <c r="D70" s="9" t="n"/>
      <c r="E70" s="10" t="n"/>
      <c r="F70" s="10" t="n"/>
      <c r="G70" s="10" t="n"/>
      <c r="H70" s="9" t="n"/>
      <c r="I70" s="9" t="n"/>
      <c r="J70" s="14">
        <f>IF(I70="","",IF(LOWER(I70)="win",H70,IF(LOWER(I70)="loss",-1,IF(LOWER(I70)="breakeven",0,""))))</f>
        <v/>
      </c>
      <c r="K70" s="9" t="n"/>
    </row>
    <row r="71">
      <c r="A71" s="8" t="n"/>
      <c r="B71" s="9" t="n"/>
      <c r="C71" s="9" t="n"/>
      <c r="D71" s="9" t="n"/>
      <c r="E71" s="10" t="n"/>
      <c r="F71" s="10" t="n"/>
      <c r="G71" s="10" t="n"/>
      <c r="H71" s="9" t="n"/>
      <c r="I71" s="9" t="n"/>
      <c r="J71" s="14">
        <f>IF(I71="","",IF(LOWER(I71)="win",H71,IF(LOWER(I71)="loss",-1,IF(LOWER(I71)="breakeven",0,""))))</f>
        <v/>
      </c>
      <c r="K71" s="9" t="n"/>
    </row>
    <row r="72">
      <c r="A72" s="8" t="n"/>
      <c r="B72" s="9" t="n"/>
      <c r="C72" s="9" t="n"/>
      <c r="D72" s="9" t="n"/>
      <c r="E72" s="10" t="n"/>
      <c r="F72" s="10" t="n"/>
      <c r="G72" s="10" t="n"/>
      <c r="H72" s="9" t="n"/>
      <c r="I72" s="9" t="n"/>
      <c r="J72" s="14">
        <f>IF(I72="","",IF(LOWER(I72)="win",H72,IF(LOWER(I72)="loss",-1,IF(LOWER(I72)="breakeven",0,""))))</f>
        <v/>
      </c>
      <c r="K72" s="9" t="n"/>
    </row>
    <row r="73">
      <c r="A73" s="8" t="n"/>
      <c r="B73" s="9" t="n"/>
      <c r="C73" s="9" t="n"/>
      <c r="D73" s="9" t="n"/>
      <c r="E73" s="10" t="n"/>
      <c r="F73" s="10" t="n"/>
      <c r="G73" s="10" t="n"/>
      <c r="H73" s="9" t="n"/>
      <c r="I73" s="9" t="n"/>
      <c r="J73" s="14">
        <f>IF(I73="","",IF(LOWER(I73)="win",H73,IF(LOWER(I73)="loss",-1,IF(LOWER(I73)="breakeven",0,""))))</f>
        <v/>
      </c>
      <c r="K73" s="9" t="n"/>
    </row>
    <row r="74">
      <c r="A74" s="8" t="n"/>
      <c r="B74" s="9" t="n"/>
      <c r="C74" s="9" t="n"/>
      <c r="D74" s="9" t="n"/>
      <c r="E74" s="10" t="n"/>
      <c r="F74" s="10" t="n"/>
      <c r="G74" s="10" t="n"/>
      <c r="H74" s="9" t="n"/>
      <c r="I74" s="9" t="n"/>
      <c r="J74" s="14">
        <f>IF(I74="","",IF(LOWER(I74)="win",H74,IF(LOWER(I74)="loss",-1,IF(LOWER(I74)="breakeven",0,""))))</f>
        <v/>
      </c>
      <c r="K74" s="9" t="n"/>
    </row>
    <row r="75">
      <c r="A75" s="8" t="n"/>
      <c r="B75" s="9" t="n"/>
      <c r="C75" s="9" t="n"/>
      <c r="D75" s="9" t="n"/>
      <c r="E75" s="10" t="n"/>
      <c r="F75" s="10" t="n"/>
      <c r="G75" s="10" t="n"/>
      <c r="H75" s="9" t="n"/>
      <c r="I75" s="9" t="n"/>
      <c r="J75" s="14">
        <f>IF(I75="","",IF(LOWER(I75)="win",H75,IF(LOWER(I75)="loss",-1,IF(LOWER(I75)="breakeven",0,""))))</f>
        <v/>
      </c>
      <c r="K75" s="9" t="n"/>
    </row>
    <row r="76">
      <c r="A76" s="8" t="n"/>
      <c r="B76" s="9" t="n"/>
      <c r="C76" s="9" t="n"/>
      <c r="D76" s="9" t="n"/>
      <c r="E76" s="10" t="n"/>
      <c r="F76" s="10" t="n"/>
      <c r="G76" s="10" t="n"/>
      <c r="H76" s="9" t="n"/>
      <c r="I76" s="9" t="n"/>
      <c r="J76" s="14">
        <f>IF(I76="","",IF(LOWER(I76)="win",H76,IF(LOWER(I76)="loss",-1,IF(LOWER(I76)="breakeven",0,""))))</f>
        <v/>
      </c>
      <c r="K76" s="9" t="n"/>
    </row>
    <row r="77">
      <c r="A77" s="8" t="n"/>
      <c r="B77" s="9" t="n"/>
      <c r="C77" s="9" t="n"/>
      <c r="D77" s="9" t="n"/>
      <c r="E77" s="10" t="n"/>
      <c r="F77" s="10" t="n"/>
      <c r="G77" s="10" t="n"/>
      <c r="H77" s="9" t="n"/>
      <c r="I77" s="9" t="n"/>
      <c r="J77" s="14">
        <f>IF(I77="","",IF(LOWER(I77)="win",H77,IF(LOWER(I77)="loss",-1,IF(LOWER(I77)="breakeven",0,""))))</f>
        <v/>
      </c>
      <c r="K77" s="9" t="n"/>
    </row>
    <row r="78">
      <c r="A78" s="8" t="n"/>
      <c r="B78" s="9" t="n"/>
      <c r="C78" s="9" t="n"/>
      <c r="D78" s="9" t="n"/>
      <c r="E78" s="10" t="n"/>
      <c r="F78" s="10" t="n"/>
      <c r="G78" s="10" t="n"/>
      <c r="H78" s="9" t="n"/>
      <c r="I78" s="9" t="n"/>
      <c r="J78" s="14">
        <f>IF(I78="","",IF(LOWER(I78)="win",H78,IF(LOWER(I78)="loss",-1,IF(LOWER(I78)="breakeven",0,""))))</f>
        <v/>
      </c>
      <c r="K78" s="9" t="n"/>
    </row>
    <row r="79">
      <c r="A79" s="8" t="n"/>
      <c r="B79" s="9" t="n"/>
      <c r="C79" s="9" t="n"/>
      <c r="D79" s="9" t="n"/>
      <c r="E79" s="10" t="n"/>
      <c r="F79" s="10" t="n"/>
      <c r="G79" s="10" t="n"/>
      <c r="H79" s="9" t="n"/>
      <c r="I79" s="9" t="n"/>
      <c r="J79" s="14">
        <f>IF(I79="","",IF(LOWER(I79)="win",H79,IF(LOWER(I79)="loss",-1,IF(LOWER(I79)="breakeven",0,""))))</f>
        <v/>
      </c>
      <c r="K79" s="9" t="n"/>
    </row>
    <row r="80">
      <c r="A80" s="8" t="n"/>
      <c r="B80" s="9" t="n"/>
      <c r="C80" s="9" t="n"/>
      <c r="D80" s="9" t="n"/>
      <c r="E80" s="10" t="n"/>
      <c r="F80" s="10" t="n"/>
      <c r="G80" s="10" t="n"/>
      <c r="H80" s="9" t="n"/>
      <c r="I80" s="9" t="n"/>
      <c r="J80" s="14">
        <f>IF(I80="","",IF(LOWER(I80)="win",H80,IF(LOWER(I80)="loss",-1,IF(LOWER(I80)="breakeven",0,""))))</f>
        <v/>
      </c>
      <c r="K80" s="9" t="n"/>
    </row>
    <row r="81">
      <c r="A81" s="8" t="n"/>
      <c r="B81" s="9" t="n"/>
      <c r="C81" s="9" t="n"/>
      <c r="D81" s="9" t="n"/>
      <c r="E81" s="10" t="n"/>
      <c r="F81" s="10" t="n"/>
      <c r="G81" s="10" t="n"/>
      <c r="H81" s="9" t="n"/>
      <c r="I81" s="9" t="n"/>
      <c r="J81" s="14">
        <f>IF(I81="","",IF(LOWER(I81)="win",H81,IF(LOWER(I81)="loss",-1,IF(LOWER(I81)="breakeven",0,""))))</f>
        <v/>
      </c>
      <c r="K81" s="9" t="n"/>
    </row>
    <row r="82">
      <c r="A82" s="8" t="n"/>
      <c r="B82" s="9" t="n"/>
      <c r="C82" s="9" t="n"/>
      <c r="D82" s="9" t="n"/>
      <c r="E82" s="10" t="n"/>
      <c r="F82" s="10" t="n"/>
      <c r="G82" s="10" t="n"/>
      <c r="H82" s="9" t="n"/>
      <c r="I82" s="9" t="n"/>
      <c r="J82" s="14">
        <f>IF(I82="","",IF(LOWER(I82)="win",H82,IF(LOWER(I82)="loss",-1,IF(LOWER(I82)="breakeven",0,""))))</f>
        <v/>
      </c>
      <c r="K82" s="9" t="n"/>
    </row>
    <row r="83">
      <c r="A83" s="8" t="n"/>
      <c r="B83" s="9" t="n"/>
      <c r="C83" s="9" t="n"/>
      <c r="D83" s="9" t="n"/>
      <c r="E83" s="10" t="n"/>
      <c r="F83" s="10" t="n"/>
      <c r="G83" s="10" t="n"/>
      <c r="H83" s="9" t="n"/>
      <c r="I83" s="9" t="n"/>
      <c r="J83" s="14">
        <f>IF(I83="","",IF(LOWER(I83)="win",H83,IF(LOWER(I83)="loss",-1,IF(LOWER(I83)="breakeven",0,""))))</f>
        <v/>
      </c>
      <c r="K83" s="9" t="n"/>
    </row>
    <row r="84">
      <c r="A84" s="8" t="n"/>
      <c r="B84" s="9" t="n"/>
      <c r="C84" s="9" t="n"/>
      <c r="D84" s="9" t="n"/>
      <c r="E84" s="10" t="n"/>
      <c r="F84" s="10" t="n"/>
      <c r="G84" s="10" t="n"/>
      <c r="H84" s="9" t="n"/>
      <c r="I84" s="9" t="n"/>
      <c r="J84" s="14">
        <f>IF(I84="","",IF(LOWER(I84)="win",H84,IF(LOWER(I84)="loss",-1,IF(LOWER(I84)="breakeven",0,""))))</f>
        <v/>
      </c>
      <c r="K84" s="9" t="n"/>
    </row>
    <row r="85">
      <c r="A85" s="8" t="n"/>
      <c r="B85" s="9" t="n"/>
      <c r="C85" s="9" t="n"/>
      <c r="D85" s="9" t="n"/>
      <c r="E85" s="10" t="n"/>
      <c r="F85" s="10" t="n"/>
      <c r="G85" s="10" t="n"/>
      <c r="H85" s="9" t="n"/>
      <c r="I85" s="9" t="n"/>
      <c r="J85" s="14">
        <f>IF(I85="","",IF(LOWER(I85)="win",H85,IF(LOWER(I85)="loss",-1,IF(LOWER(I85)="breakeven",0,""))))</f>
        <v/>
      </c>
      <c r="K85" s="9" t="n"/>
    </row>
    <row r="86">
      <c r="A86" s="8" t="n"/>
      <c r="B86" s="9" t="n"/>
      <c r="C86" s="9" t="n"/>
      <c r="D86" s="9" t="n"/>
      <c r="E86" s="10" t="n"/>
      <c r="F86" s="10" t="n"/>
      <c r="G86" s="10" t="n"/>
      <c r="H86" s="9" t="n"/>
      <c r="I86" s="9" t="n"/>
      <c r="J86" s="14">
        <f>IF(I86="","",IF(LOWER(I86)="win",H86,IF(LOWER(I86)="loss",-1,IF(LOWER(I86)="breakeven",0,""))))</f>
        <v/>
      </c>
      <c r="K86" s="9" t="n"/>
    </row>
    <row r="87">
      <c r="A87" s="8" t="n"/>
      <c r="B87" s="9" t="n"/>
      <c r="C87" s="9" t="n"/>
      <c r="D87" s="9" t="n"/>
      <c r="E87" s="10" t="n"/>
      <c r="F87" s="10" t="n"/>
      <c r="G87" s="10" t="n"/>
      <c r="H87" s="9" t="n"/>
      <c r="I87" s="9" t="n"/>
      <c r="J87" s="14">
        <f>IF(I87="","",IF(LOWER(I87)="win",H87,IF(LOWER(I87)="loss",-1,IF(LOWER(I87)="breakeven",0,""))))</f>
        <v/>
      </c>
      <c r="K87" s="9" t="n"/>
    </row>
    <row r="88">
      <c r="A88" s="8" t="n"/>
      <c r="B88" s="9" t="n"/>
      <c r="C88" s="9" t="n"/>
      <c r="D88" s="9" t="n"/>
      <c r="E88" s="10" t="n"/>
      <c r="F88" s="10" t="n"/>
      <c r="G88" s="10" t="n"/>
      <c r="H88" s="9" t="n"/>
      <c r="I88" s="9" t="n"/>
      <c r="J88" s="14">
        <f>IF(I88="","",IF(LOWER(I88)="win",H88,IF(LOWER(I88)="loss",-1,IF(LOWER(I88)="breakeven",0,""))))</f>
        <v/>
      </c>
      <c r="K88" s="9" t="n"/>
    </row>
    <row r="89">
      <c r="A89" s="8" t="n"/>
      <c r="B89" s="9" t="n"/>
      <c r="C89" s="9" t="n"/>
      <c r="D89" s="9" t="n"/>
      <c r="E89" s="10" t="n"/>
      <c r="F89" s="10" t="n"/>
      <c r="G89" s="10" t="n"/>
      <c r="H89" s="9" t="n"/>
      <c r="I89" s="9" t="n"/>
      <c r="J89" s="14">
        <f>IF(I89="","",IF(LOWER(I89)="win",H89,IF(LOWER(I89)="loss",-1,IF(LOWER(I89)="breakeven",0,""))))</f>
        <v/>
      </c>
      <c r="K89" s="9" t="n"/>
    </row>
    <row r="90">
      <c r="A90" s="8" t="n"/>
      <c r="B90" s="9" t="n"/>
      <c r="C90" s="9" t="n"/>
      <c r="D90" s="9" t="n"/>
      <c r="E90" s="10" t="n"/>
      <c r="F90" s="10" t="n"/>
      <c r="G90" s="10" t="n"/>
      <c r="H90" s="9" t="n"/>
      <c r="I90" s="9" t="n"/>
      <c r="J90" s="14">
        <f>IF(I90="","",IF(LOWER(I90)="win",H90,IF(LOWER(I90)="loss",-1,IF(LOWER(I90)="breakeven",0,""))))</f>
        <v/>
      </c>
      <c r="K90" s="9" t="n"/>
    </row>
    <row r="91">
      <c r="A91" s="8" t="n"/>
      <c r="B91" s="9" t="n"/>
      <c r="C91" s="9" t="n"/>
      <c r="D91" s="9" t="n"/>
      <c r="E91" s="10" t="n"/>
      <c r="F91" s="10" t="n"/>
      <c r="G91" s="10" t="n"/>
      <c r="H91" s="9" t="n"/>
      <c r="I91" s="9" t="n"/>
      <c r="J91" s="14">
        <f>IF(I91="","",IF(LOWER(I91)="win",H91,IF(LOWER(I91)="loss",-1,IF(LOWER(I91)="breakeven",0,""))))</f>
        <v/>
      </c>
      <c r="K91" s="9" t="n"/>
    </row>
    <row r="92">
      <c r="A92" s="8" t="n"/>
      <c r="B92" s="9" t="n"/>
      <c r="C92" s="9" t="n"/>
      <c r="D92" s="9" t="n"/>
      <c r="E92" s="10" t="n"/>
      <c r="F92" s="10" t="n"/>
      <c r="G92" s="10" t="n"/>
      <c r="H92" s="9" t="n"/>
      <c r="I92" s="9" t="n"/>
      <c r="J92" s="14">
        <f>IF(I92="","",IF(LOWER(I92)="win",H92,IF(LOWER(I92)="loss",-1,IF(LOWER(I92)="breakeven",0,""))))</f>
        <v/>
      </c>
      <c r="K92" s="9" t="n"/>
    </row>
    <row r="93">
      <c r="A93" s="8" t="n"/>
      <c r="B93" s="9" t="n"/>
      <c r="C93" s="9" t="n"/>
      <c r="D93" s="9" t="n"/>
      <c r="E93" s="10" t="n"/>
      <c r="F93" s="10" t="n"/>
      <c r="G93" s="10" t="n"/>
      <c r="H93" s="9" t="n"/>
      <c r="I93" s="9" t="n"/>
      <c r="J93" s="14">
        <f>IF(I93="","",IF(LOWER(I93)="win",H93,IF(LOWER(I93)="loss",-1,IF(LOWER(I93)="breakeven",0,""))))</f>
        <v/>
      </c>
      <c r="K93" s="9" t="n"/>
    </row>
    <row r="94">
      <c r="A94" s="8" t="n"/>
      <c r="B94" s="9" t="n"/>
      <c r="C94" s="9" t="n"/>
      <c r="D94" s="9" t="n"/>
      <c r="E94" s="10" t="n"/>
      <c r="F94" s="10" t="n"/>
      <c r="G94" s="10" t="n"/>
      <c r="H94" s="9" t="n"/>
      <c r="I94" s="9" t="n"/>
      <c r="J94" s="14">
        <f>IF(I94="","",IF(LOWER(I94)="win",H94,IF(LOWER(I94)="loss",-1,IF(LOWER(I94)="breakeven",0,""))))</f>
        <v/>
      </c>
      <c r="K94" s="9" t="n"/>
    </row>
    <row r="95">
      <c r="A95" s="8" t="n"/>
      <c r="B95" s="9" t="n"/>
      <c r="C95" s="9" t="n"/>
      <c r="D95" s="9" t="n"/>
      <c r="E95" s="10" t="n"/>
      <c r="F95" s="10" t="n"/>
      <c r="G95" s="10" t="n"/>
      <c r="H95" s="9" t="n"/>
      <c r="I95" s="9" t="n"/>
      <c r="J95" s="14">
        <f>IF(I95="","",IF(LOWER(I95)="win",H95,IF(LOWER(I95)="loss",-1,IF(LOWER(I95)="breakeven",0,""))))</f>
        <v/>
      </c>
      <c r="K95" s="9" t="n"/>
    </row>
    <row r="96">
      <c r="A96" s="8" t="n"/>
      <c r="B96" s="9" t="n"/>
      <c r="C96" s="9" t="n"/>
      <c r="D96" s="9" t="n"/>
      <c r="E96" s="10" t="n"/>
      <c r="F96" s="10" t="n"/>
      <c r="G96" s="10" t="n"/>
      <c r="H96" s="9" t="n"/>
      <c r="I96" s="9" t="n"/>
      <c r="J96" s="14">
        <f>IF(I96="","",IF(LOWER(I96)="win",H96,IF(LOWER(I96)="loss",-1,IF(LOWER(I96)="breakeven",0,""))))</f>
        <v/>
      </c>
      <c r="K96" s="9" t="n"/>
    </row>
    <row r="97">
      <c r="A97" s="8" t="n"/>
      <c r="B97" s="9" t="n"/>
      <c r="C97" s="9" t="n"/>
      <c r="D97" s="9" t="n"/>
      <c r="E97" s="10" t="n"/>
      <c r="F97" s="10" t="n"/>
      <c r="G97" s="10" t="n"/>
      <c r="H97" s="9" t="n"/>
      <c r="I97" s="9" t="n"/>
      <c r="J97" s="14">
        <f>IF(I97="","",IF(LOWER(I97)="win",H97,IF(LOWER(I97)="loss",-1,IF(LOWER(I97)="breakeven",0,""))))</f>
        <v/>
      </c>
      <c r="K97" s="9" t="n"/>
    </row>
    <row r="98">
      <c r="A98" s="8" t="n"/>
      <c r="B98" s="9" t="n"/>
      <c r="C98" s="9" t="n"/>
      <c r="D98" s="9" t="n"/>
      <c r="E98" s="10" t="n"/>
      <c r="F98" s="10" t="n"/>
      <c r="G98" s="10" t="n"/>
      <c r="H98" s="9" t="n"/>
      <c r="I98" s="9" t="n"/>
      <c r="J98" s="14">
        <f>IF(I98="","",IF(LOWER(I98)="win",H98,IF(LOWER(I98)="loss",-1,IF(LOWER(I98)="breakeven",0,""))))</f>
        <v/>
      </c>
      <c r="K98" s="9" t="n"/>
    </row>
    <row r="99">
      <c r="A99" s="8" t="n"/>
      <c r="B99" s="9" t="n"/>
      <c r="C99" s="9" t="n"/>
      <c r="D99" s="9" t="n"/>
      <c r="E99" s="10" t="n"/>
      <c r="F99" s="10" t="n"/>
      <c r="G99" s="10" t="n"/>
      <c r="H99" s="9" t="n"/>
      <c r="I99" s="9" t="n"/>
      <c r="J99" s="14">
        <f>IF(I99="","",IF(LOWER(I99)="win",H99,IF(LOWER(I99)="loss",-1,IF(LOWER(I99)="breakeven",0,""))))</f>
        <v/>
      </c>
      <c r="K99" s="9" t="n"/>
    </row>
    <row r="100">
      <c r="A100" s="8" t="n"/>
      <c r="B100" s="9" t="n"/>
      <c r="C100" s="9" t="n"/>
      <c r="D100" s="9" t="n"/>
      <c r="E100" s="10" t="n"/>
      <c r="F100" s="10" t="n"/>
      <c r="G100" s="10" t="n"/>
      <c r="H100" s="9" t="n"/>
      <c r="I100" s="9" t="n"/>
      <c r="J100" s="14">
        <f>IF(I100="","",IF(LOWER(I100)="win",H100,IF(LOWER(I100)="loss",-1,IF(LOWER(I100)="breakeven",0,""))))</f>
        <v/>
      </c>
      <c r="K100" s="9" t="n"/>
    </row>
    <row r="101">
      <c r="A101" s="8" t="n"/>
      <c r="B101" s="9" t="n"/>
      <c r="C101" s="9" t="n"/>
      <c r="D101" s="9" t="n"/>
      <c r="E101" s="10" t="n"/>
      <c r="F101" s="10" t="n"/>
      <c r="G101" s="10" t="n"/>
      <c r="H101" s="9" t="n"/>
      <c r="I101" s="9" t="n"/>
      <c r="J101" s="14">
        <f>IF(I101="","",IF(LOWER(I101)="win",H101,IF(LOWER(I101)="loss",-1,IF(LOWER(I101)="breakeven",0,""))))</f>
        <v/>
      </c>
      <c r="K101" s="9" t="n"/>
    </row>
    <row r="102">
      <c r="A102" s="8" t="n"/>
      <c r="B102" s="9" t="n"/>
      <c r="C102" s="9" t="n"/>
      <c r="D102" s="9" t="n"/>
      <c r="E102" s="10" t="n"/>
      <c r="F102" s="10" t="n"/>
      <c r="G102" s="10" t="n"/>
      <c r="H102" s="9" t="n"/>
      <c r="I102" s="9" t="n"/>
      <c r="J102" s="14">
        <f>IF(I102="","",IF(LOWER(I102)="win",H102,IF(LOWER(I102)="loss",-1,IF(LOWER(I102)="breakeven",0,""))))</f>
        <v/>
      </c>
      <c r="K102" s="9" t="n"/>
    </row>
    <row r="103">
      <c r="A103" s="8" t="n"/>
      <c r="B103" s="9" t="n"/>
      <c r="C103" s="9" t="n"/>
      <c r="D103" s="9" t="n"/>
      <c r="E103" s="10" t="n"/>
      <c r="F103" s="10" t="n"/>
      <c r="G103" s="10" t="n"/>
      <c r="H103" s="9" t="n"/>
      <c r="I103" s="9" t="n"/>
      <c r="J103" s="14">
        <f>IF(I103="","",IF(LOWER(I103)="win",H103,IF(LOWER(I103)="loss",-1,IF(LOWER(I103)="breakeven",0,""))))</f>
        <v/>
      </c>
      <c r="K103" s="9" t="n"/>
    </row>
    <row r="104">
      <c r="A104" s="8" t="n"/>
      <c r="B104" s="9" t="n"/>
      <c r="C104" s="9" t="n"/>
      <c r="D104" s="9" t="n"/>
      <c r="E104" s="10" t="n"/>
      <c r="F104" s="10" t="n"/>
      <c r="G104" s="10" t="n"/>
      <c r="H104" s="9" t="n"/>
      <c r="I104" s="9" t="n"/>
      <c r="J104" s="14">
        <f>IF(I104="","",IF(LOWER(I104)="win",H104,IF(LOWER(I104)="loss",-1,IF(LOWER(I104)="breakeven",0,""))))</f>
        <v/>
      </c>
      <c r="K104" s="9" t="n"/>
    </row>
    <row r="105">
      <c r="A105" s="8" t="n"/>
      <c r="B105" s="9" t="n"/>
      <c r="C105" s="9" t="n"/>
      <c r="D105" s="9" t="n"/>
      <c r="E105" s="10" t="n"/>
      <c r="F105" s="10" t="n"/>
      <c r="G105" s="10" t="n"/>
      <c r="H105" s="9" t="n"/>
      <c r="I105" s="9" t="n"/>
      <c r="J105" s="14">
        <f>IF(I105="","",IF(LOWER(I105)="win",H105,IF(LOWER(I105)="loss",-1,IF(LOWER(I105)="breakeven",0,""))))</f>
        <v/>
      </c>
      <c r="K105" s="9" t="n"/>
    </row>
    <row r="106">
      <c r="A106" s="8" t="n"/>
      <c r="B106" s="9" t="n"/>
      <c r="C106" s="9" t="n"/>
      <c r="D106" s="9" t="n"/>
      <c r="E106" s="10" t="n"/>
      <c r="F106" s="10" t="n"/>
      <c r="G106" s="10" t="n"/>
      <c r="H106" s="9" t="n"/>
      <c r="I106" s="9" t="n"/>
      <c r="J106" s="14">
        <f>IF(I106="","",IF(LOWER(I106)="win",H106,IF(LOWER(I106)="loss",-1,IF(LOWER(I106)="breakeven",0,""))))</f>
        <v/>
      </c>
      <c r="K106" s="9" t="n"/>
    </row>
    <row r="107">
      <c r="A107" s="8" t="n"/>
      <c r="B107" s="9" t="n"/>
      <c r="C107" s="9" t="n"/>
      <c r="D107" s="9" t="n"/>
      <c r="E107" s="10" t="n"/>
      <c r="F107" s="10" t="n"/>
      <c r="G107" s="10" t="n"/>
      <c r="H107" s="9" t="n"/>
      <c r="I107" s="9" t="n"/>
      <c r="J107" s="14">
        <f>IF(I107="","",IF(LOWER(I107)="win",H107,IF(LOWER(I107)="loss",-1,IF(LOWER(I107)="breakeven",0,""))))</f>
        <v/>
      </c>
      <c r="K107" s="9" t="n"/>
    </row>
    <row r="108">
      <c r="A108" s="8" t="n"/>
      <c r="B108" s="9" t="n"/>
      <c r="C108" s="9" t="n"/>
      <c r="D108" s="9" t="n"/>
      <c r="E108" s="10" t="n"/>
      <c r="F108" s="10" t="n"/>
      <c r="G108" s="10" t="n"/>
      <c r="H108" s="9" t="n"/>
      <c r="I108" s="9" t="n"/>
      <c r="J108" s="14">
        <f>IF(I108="","",IF(LOWER(I108)="win",H108,IF(LOWER(I108)="loss",-1,IF(LOWER(I108)="breakeven",0,""))))</f>
        <v/>
      </c>
      <c r="K108" s="9" t="n"/>
    </row>
    <row r="109">
      <c r="A109" s="8" t="n"/>
      <c r="B109" s="9" t="n"/>
      <c r="C109" s="9" t="n"/>
      <c r="D109" s="9" t="n"/>
      <c r="E109" s="10" t="n"/>
      <c r="F109" s="10" t="n"/>
      <c r="G109" s="10" t="n"/>
      <c r="H109" s="9" t="n"/>
      <c r="I109" s="9" t="n"/>
      <c r="J109" s="14">
        <f>IF(I109="","",IF(LOWER(I109)="win",H109,IF(LOWER(I109)="loss",-1,IF(LOWER(I109)="breakeven",0,""))))</f>
        <v/>
      </c>
      <c r="K109" s="9" t="n"/>
    </row>
    <row r="110">
      <c r="A110" s="8" t="n"/>
      <c r="B110" s="9" t="n"/>
      <c r="C110" s="9" t="n"/>
      <c r="D110" s="9" t="n"/>
      <c r="E110" s="10" t="n"/>
      <c r="F110" s="10" t="n"/>
      <c r="G110" s="10" t="n"/>
      <c r="H110" s="9" t="n"/>
      <c r="I110" s="9" t="n"/>
      <c r="J110" s="14">
        <f>IF(I110="","",IF(LOWER(I110)="win",H110,IF(LOWER(I110)="loss",-1,IF(LOWER(I110)="breakeven",0,""))))</f>
        <v/>
      </c>
      <c r="K110" s="9" t="n"/>
    </row>
    <row r="111">
      <c r="A111" s="8" t="n"/>
      <c r="B111" s="9" t="n"/>
      <c r="C111" s="9" t="n"/>
      <c r="D111" s="9" t="n"/>
      <c r="E111" s="10" t="n"/>
      <c r="F111" s="10" t="n"/>
      <c r="G111" s="10" t="n"/>
      <c r="H111" s="9" t="n"/>
      <c r="I111" s="9" t="n"/>
      <c r="J111" s="14">
        <f>IF(I111="","",IF(LOWER(I111)="win",H111,IF(LOWER(I111)="loss",-1,IF(LOWER(I111)="breakeven",0,""))))</f>
        <v/>
      </c>
      <c r="K111" s="9" t="n"/>
    </row>
    <row r="112">
      <c r="A112" s="8" t="n"/>
      <c r="B112" s="9" t="n"/>
      <c r="C112" s="9" t="n"/>
      <c r="D112" s="9" t="n"/>
      <c r="E112" s="10" t="n"/>
      <c r="F112" s="10" t="n"/>
      <c r="G112" s="10" t="n"/>
      <c r="H112" s="9" t="n"/>
      <c r="I112" s="9" t="n"/>
      <c r="J112" s="14">
        <f>IF(I112="","",IF(LOWER(I112)="win",H112,IF(LOWER(I112)="loss",-1,IF(LOWER(I112)="breakeven",0,""))))</f>
        <v/>
      </c>
      <c r="K112" s="9" t="n"/>
    </row>
    <row r="113">
      <c r="A113" s="8" t="n"/>
      <c r="B113" s="9" t="n"/>
      <c r="C113" s="9" t="n"/>
      <c r="D113" s="9" t="n"/>
      <c r="E113" s="10" t="n"/>
      <c r="F113" s="10" t="n"/>
      <c r="G113" s="10" t="n"/>
      <c r="H113" s="9" t="n"/>
      <c r="I113" s="9" t="n"/>
      <c r="J113" s="14">
        <f>IF(I113="","",IF(LOWER(I113)="win",H113,IF(LOWER(I113)="loss",-1,IF(LOWER(I113)="breakeven",0,""))))</f>
        <v/>
      </c>
      <c r="K113" s="9" t="n"/>
    </row>
    <row r="114">
      <c r="A114" s="8" t="n"/>
      <c r="B114" s="9" t="n"/>
      <c r="C114" s="9" t="n"/>
      <c r="D114" s="9" t="n"/>
      <c r="E114" s="10" t="n"/>
      <c r="F114" s="10" t="n"/>
      <c r="G114" s="10" t="n"/>
      <c r="H114" s="9" t="n"/>
      <c r="I114" s="9" t="n"/>
      <c r="J114" s="14">
        <f>IF(I114="","",IF(LOWER(I114)="win",H114,IF(LOWER(I114)="loss",-1,IF(LOWER(I114)="breakeven",0,""))))</f>
        <v/>
      </c>
      <c r="K114" s="9" t="n"/>
    </row>
    <row r="115">
      <c r="A115" s="8" t="n"/>
      <c r="B115" s="9" t="n"/>
      <c r="C115" s="9" t="n"/>
      <c r="D115" s="9" t="n"/>
      <c r="E115" s="10" t="n"/>
      <c r="F115" s="10" t="n"/>
      <c r="G115" s="10" t="n"/>
      <c r="H115" s="9" t="n"/>
      <c r="I115" s="9" t="n"/>
      <c r="J115" s="14">
        <f>IF(I115="","",IF(LOWER(I115)="win",H115,IF(LOWER(I115)="loss",-1,IF(LOWER(I115)="breakeven",0,""))))</f>
        <v/>
      </c>
      <c r="K115" s="9" t="n"/>
    </row>
    <row r="116">
      <c r="A116" s="8" t="n"/>
      <c r="B116" s="9" t="n"/>
      <c r="C116" s="9" t="n"/>
      <c r="D116" s="9" t="n"/>
      <c r="E116" s="10" t="n"/>
      <c r="F116" s="10" t="n"/>
      <c r="G116" s="10" t="n"/>
      <c r="H116" s="9" t="n"/>
      <c r="I116" s="9" t="n"/>
      <c r="J116" s="14">
        <f>IF(I116="","",IF(LOWER(I116)="win",H116,IF(LOWER(I116)="loss",-1,IF(LOWER(I116)="breakeven",0,""))))</f>
        <v/>
      </c>
      <c r="K116" s="9" t="n"/>
    </row>
    <row r="117">
      <c r="A117" s="8" t="n"/>
      <c r="B117" s="9" t="n"/>
      <c r="C117" s="9" t="n"/>
      <c r="D117" s="9" t="n"/>
      <c r="E117" s="10" t="n"/>
      <c r="F117" s="10" t="n"/>
      <c r="G117" s="10" t="n"/>
      <c r="H117" s="9" t="n"/>
      <c r="I117" s="9" t="n"/>
      <c r="J117" s="14">
        <f>IF(I117="","",IF(LOWER(I117)="win",H117,IF(LOWER(I117)="loss",-1,IF(LOWER(I117)="breakeven",0,""))))</f>
        <v/>
      </c>
      <c r="K117" s="9" t="n"/>
    </row>
    <row r="118">
      <c r="A118" s="8" t="n"/>
      <c r="B118" s="9" t="n"/>
      <c r="C118" s="9" t="n"/>
      <c r="D118" s="9" t="n"/>
      <c r="E118" s="10" t="n"/>
      <c r="F118" s="10" t="n"/>
      <c r="G118" s="10" t="n"/>
      <c r="H118" s="9" t="n"/>
      <c r="I118" s="9" t="n"/>
      <c r="J118" s="14">
        <f>IF(I118="","",IF(LOWER(I118)="win",H118,IF(LOWER(I118)="loss",-1,IF(LOWER(I118)="breakeven",0,""))))</f>
        <v/>
      </c>
      <c r="K118" s="9" t="n"/>
    </row>
    <row r="119">
      <c r="A119" s="8" t="n"/>
      <c r="B119" s="9" t="n"/>
      <c r="C119" s="9" t="n"/>
      <c r="D119" s="9" t="n"/>
      <c r="E119" s="10" t="n"/>
      <c r="F119" s="10" t="n"/>
      <c r="G119" s="10" t="n"/>
      <c r="H119" s="9" t="n"/>
      <c r="I119" s="9" t="n"/>
      <c r="J119" s="14">
        <f>IF(I119="","",IF(LOWER(I119)="win",H119,IF(LOWER(I119)="loss",-1,IF(LOWER(I119)="breakeven",0,""))))</f>
        <v/>
      </c>
      <c r="K119" s="9" t="n"/>
    </row>
    <row r="120">
      <c r="A120" s="8" t="n"/>
      <c r="B120" s="9" t="n"/>
      <c r="C120" s="9" t="n"/>
      <c r="D120" s="9" t="n"/>
      <c r="E120" s="10" t="n"/>
      <c r="F120" s="10" t="n"/>
      <c r="G120" s="10" t="n"/>
      <c r="H120" s="9" t="n"/>
      <c r="I120" s="9" t="n"/>
      <c r="J120" s="14">
        <f>IF(I120="","",IF(LOWER(I120)="win",H120,IF(LOWER(I120)="loss",-1,IF(LOWER(I120)="breakeven",0,""))))</f>
        <v/>
      </c>
      <c r="K120" s="9" t="n"/>
    </row>
    <row r="121">
      <c r="A121" s="8" t="n"/>
      <c r="B121" s="9" t="n"/>
      <c r="C121" s="9" t="n"/>
      <c r="D121" s="9" t="n"/>
      <c r="E121" s="10" t="n"/>
      <c r="F121" s="10" t="n"/>
      <c r="G121" s="10" t="n"/>
      <c r="H121" s="9" t="n"/>
      <c r="I121" s="9" t="n"/>
      <c r="J121" s="14">
        <f>IF(I121="","",IF(LOWER(I121)="win",H121,IF(LOWER(I121)="loss",-1,IF(LOWER(I121)="breakeven",0,""))))</f>
        <v/>
      </c>
      <c r="K121" s="9" t="n"/>
    </row>
    <row r="122">
      <c r="A122" s="8" t="n"/>
      <c r="B122" s="9" t="n"/>
      <c r="C122" s="9" t="n"/>
      <c r="D122" s="9" t="n"/>
      <c r="E122" s="10" t="n"/>
      <c r="F122" s="10" t="n"/>
      <c r="G122" s="10" t="n"/>
      <c r="H122" s="9" t="n"/>
      <c r="I122" s="9" t="n"/>
      <c r="J122" s="14">
        <f>IF(I122="","",IF(LOWER(I122)="win",H122,IF(LOWER(I122)="loss",-1,IF(LOWER(I122)="breakeven",0,""))))</f>
        <v/>
      </c>
      <c r="K122" s="9" t="n"/>
    </row>
    <row r="123">
      <c r="A123" s="8" t="n"/>
      <c r="B123" s="9" t="n"/>
      <c r="C123" s="9" t="n"/>
      <c r="D123" s="9" t="n"/>
      <c r="E123" s="10" t="n"/>
      <c r="F123" s="10" t="n"/>
      <c r="G123" s="10" t="n"/>
      <c r="H123" s="9" t="n"/>
      <c r="I123" s="9" t="n"/>
      <c r="J123" s="14">
        <f>IF(I123="","",IF(LOWER(I123)="win",H123,IF(LOWER(I123)="loss",-1,IF(LOWER(I123)="breakeven",0,""))))</f>
        <v/>
      </c>
      <c r="K123" s="9" t="n"/>
    </row>
    <row r="124">
      <c r="A124" s="8" t="n"/>
      <c r="B124" s="9" t="n"/>
      <c r="C124" s="9" t="n"/>
      <c r="D124" s="9" t="n"/>
      <c r="E124" s="10" t="n"/>
      <c r="F124" s="10" t="n"/>
      <c r="G124" s="10" t="n"/>
      <c r="H124" s="9" t="n"/>
      <c r="I124" s="9" t="n"/>
      <c r="J124" s="14">
        <f>IF(I124="","",IF(LOWER(I124)="win",H124,IF(LOWER(I124)="loss",-1,IF(LOWER(I124)="breakeven",0,""))))</f>
        <v/>
      </c>
      <c r="K124" s="9" t="n"/>
    </row>
    <row r="125">
      <c r="A125" s="8" t="n"/>
      <c r="B125" s="9" t="n"/>
      <c r="C125" s="9" t="n"/>
      <c r="D125" s="9" t="n"/>
      <c r="E125" s="10" t="n"/>
      <c r="F125" s="10" t="n"/>
      <c r="G125" s="10" t="n"/>
      <c r="H125" s="9" t="n"/>
      <c r="I125" s="9" t="n"/>
      <c r="J125" s="14">
        <f>IF(I125="","",IF(LOWER(I125)="win",H125,IF(LOWER(I125)="loss",-1,IF(LOWER(I125)="breakeven",0,""))))</f>
        <v/>
      </c>
      <c r="K125" s="9" t="n"/>
    </row>
    <row r="126">
      <c r="A126" s="8" t="n"/>
      <c r="B126" s="9" t="n"/>
      <c r="C126" s="9" t="n"/>
      <c r="D126" s="9" t="n"/>
      <c r="E126" s="10" t="n"/>
      <c r="F126" s="10" t="n"/>
      <c r="G126" s="10" t="n"/>
      <c r="H126" s="9" t="n"/>
      <c r="I126" s="9" t="n"/>
      <c r="J126" s="14">
        <f>IF(I126="","",IF(LOWER(I126)="win",H126,IF(LOWER(I126)="loss",-1,IF(LOWER(I126)="breakeven",0,""))))</f>
        <v/>
      </c>
      <c r="K126" s="9" t="n"/>
    </row>
    <row r="127">
      <c r="A127" s="8" t="n"/>
      <c r="B127" s="9" t="n"/>
      <c r="C127" s="9" t="n"/>
      <c r="D127" s="9" t="n"/>
      <c r="E127" s="10" t="n"/>
      <c r="F127" s="10" t="n"/>
      <c r="G127" s="10" t="n"/>
      <c r="H127" s="9" t="n"/>
      <c r="I127" s="9" t="n"/>
      <c r="J127" s="14">
        <f>IF(I127="","",IF(LOWER(I127)="win",H127,IF(LOWER(I127)="loss",-1,IF(LOWER(I127)="breakeven",0,""))))</f>
        <v/>
      </c>
      <c r="K127" s="9" t="n"/>
    </row>
    <row r="128">
      <c r="A128" s="8" t="n"/>
      <c r="B128" s="9" t="n"/>
      <c r="C128" s="9" t="n"/>
      <c r="D128" s="9" t="n"/>
      <c r="E128" s="10" t="n"/>
      <c r="F128" s="10" t="n"/>
      <c r="G128" s="10" t="n"/>
      <c r="H128" s="9" t="n"/>
      <c r="I128" s="9" t="n"/>
      <c r="J128" s="14">
        <f>IF(I128="","",IF(LOWER(I128)="win",H128,IF(LOWER(I128)="loss",-1,IF(LOWER(I128)="breakeven",0,""))))</f>
        <v/>
      </c>
      <c r="K128" s="9" t="n"/>
    </row>
    <row r="129">
      <c r="A129" s="8" t="n"/>
      <c r="B129" s="9" t="n"/>
      <c r="C129" s="9" t="n"/>
      <c r="D129" s="9" t="n"/>
      <c r="E129" s="10" t="n"/>
      <c r="F129" s="10" t="n"/>
      <c r="G129" s="10" t="n"/>
      <c r="H129" s="9" t="n"/>
      <c r="I129" s="9" t="n"/>
      <c r="J129" s="14">
        <f>IF(I129="","",IF(LOWER(I129)="win",H129,IF(LOWER(I129)="loss",-1,IF(LOWER(I129)="breakeven",0,""))))</f>
        <v/>
      </c>
      <c r="K129" s="9" t="n"/>
    </row>
    <row r="130">
      <c r="A130" s="8" t="n"/>
      <c r="B130" s="9" t="n"/>
      <c r="C130" s="9" t="n"/>
      <c r="D130" s="9" t="n"/>
      <c r="E130" s="10" t="n"/>
      <c r="F130" s="10" t="n"/>
      <c r="G130" s="10" t="n"/>
      <c r="H130" s="9" t="n"/>
      <c r="I130" s="9" t="n"/>
      <c r="J130" s="14">
        <f>IF(I130="","",IF(LOWER(I130)="win",H130,IF(LOWER(I130)="loss",-1,IF(LOWER(I130)="breakeven",0,""))))</f>
        <v/>
      </c>
      <c r="K130" s="9" t="n"/>
    </row>
    <row r="131">
      <c r="A131" s="8" t="n"/>
      <c r="B131" s="9" t="n"/>
      <c r="C131" s="9" t="n"/>
      <c r="D131" s="9" t="n"/>
      <c r="E131" s="10" t="n"/>
      <c r="F131" s="10" t="n"/>
      <c r="G131" s="10" t="n"/>
      <c r="H131" s="9" t="n"/>
      <c r="I131" s="9" t="n"/>
      <c r="J131" s="14">
        <f>IF(I131="","",IF(LOWER(I131)="win",H131,IF(LOWER(I131)="loss",-1,IF(LOWER(I131)="breakeven",0,""))))</f>
        <v/>
      </c>
      <c r="K131" s="9" t="n"/>
    </row>
    <row r="132">
      <c r="A132" s="8" t="n"/>
      <c r="B132" s="9" t="n"/>
      <c r="C132" s="9" t="n"/>
      <c r="D132" s="9" t="n"/>
      <c r="E132" s="10" t="n"/>
      <c r="F132" s="10" t="n"/>
      <c r="G132" s="10" t="n"/>
      <c r="H132" s="9" t="n"/>
      <c r="I132" s="9" t="n"/>
      <c r="J132" s="14">
        <f>IF(I132="","",IF(LOWER(I132)="win",H132,IF(LOWER(I132)="loss",-1,IF(LOWER(I132)="breakeven",0,""))))</f>
        <v/>
      </c>
      <c r="K132" s="9" t="n"/>
    </row>
    <row r="133">
      <c r="A133" s="8" t="n"/>
      <c r="B133" s="9" t="n"/>
      <c r="C133" s="9" t="n"/>
      <c r="D133" s="9" t="n"/>
      <c r="E133" s="10" t="n"/>
      <c r="F133" s="10" t="n"/>
      <c r="G133" s="10" t="n"/>
      <c r="H133" s="9" t="n"/>
      <c r="I133" s="9" t="n"/>
      <c r="J133" s="14">
        <f>IF(I133="","",IF(LOWER(I133)="win",H133,IF(LOWER(I133)="loss",-1,IF(LOWER(I133)="breakeven",0,""))))</f>
        <v/>
      </c>
      <c r="K133" s="9" t="n"/>
    </row>
    <row r="134">
      <c r="A134" s="8" t="n"/>
      <c r="B134" s="9" t="n"/>
      <c r="C134" s="9" t="n"/>
      <c r="D134" s="9" t="n"/>
      <c r="E134" s="10" t="n"/>
      <c r="F134" s="10" t="n"/>
      <c r="G134" s="10" t="n"/>
      <c r="H134" s="9" t="n"/>
      <c r="I134" s="9" t="n"/>
      <c r="J134" s="14">
        <f>IF(I134="","",IF(LOWER(I134)="win",H134,IF(LOWER(I134)="loss",-1,IF(LOWER(I134)="breakeven",0,""))))</f>
        <v/>
      </c>
      <c r="K134" s="9" t="n"/>
    </row>
    <row r="135">
      <c r="A135" s="8" t="n"/>
      <c r="B135" s="9" t="n"/>
      <c r="C135" s="9" t="n"/>
      <c r="D135" s="9" t="n"/>
      <c r="E135" s="10" t="n"/>
      <c r="F135" s="10" t="n"/>
      <c r="G135" s="10" t="n"/>
      <c r="H135" s="9" t="n"/>
      <c r="I135" s="9" t="n"/>
      <c r="J135" s="14">
        <f>IF(I135="","",IF(LOWER(I135)="win",H135,IF(LOWER(I135)="loss",-1,IF(LOWER(I135)="breakeven",0,""))))</f>
        <v/>
      </c>
      <c r="K135" s="9" t="n"/>
    </row>
    <row r="136">
      <c r="A136" s="8" t="n"/>
      <c r="B136" s="9" t="n"/>
      <c r="C136" s="9" t="n"/>
      <c r="D136" s="9" t="n"/>
      <c r="E136" s="10" t="n"/>
      <c r="F136" s="10" t="n"/>
      <c r="G136" s="10" t="n"/>
      <c r="H136" s="9" t="n"/>
      <c r="I136" s="9" t="n"/>
      <c r="J136" s="14">
        <f>IF(I136="","",IF(LOWER(I136)="win",H136,IF(LOWER(I136)="loss",-1,IF(LOWER(I136)="breakeven",0,""))))</f>
        <v/>
      </c>
      <c r="K136" s="9" t="n"/>
    </row>
    <row r="137">
      <c r="A137" s="8" t="n"/>
      <c r="B137" s="9" t="n"/>
      <c r="C137" s="9" t="n"/>
      <c r="D137" s="9" t="n"/>
      <c r="E137" s="10" t="n"/>
      <c r="F137" s="10" t="n"/>
      <c r="G137" s="10" t="n"/>
      <c r="H137" s="9" t="n"/>
      <c r="I137" s="9" t="n"/>
      <c r="J137" s="14">
        <f>IF(I137="","",IF(LOWER(I137)="win",H137,IF(LOWER(I137)="loss",-1,IF(LOWER(I137)="breakeven",0,""))))</f>
        <v/>
      </c>
      <c r="K137" s="9" t="n"/>
    </row>
    <row r="138">
      <c r="A138" s="8" t="n"/>
      <c r="B138" s="9" t="n"/>
      <c r="C138" s="9" t="n"/>
      <c r="D138" s="9" t="n"/>
      <c r="E138" s="10" t="n"/>
      <c r="F138" s="10" t="n"/>
      <c r="G138" s="10" t="n"/>
      <c r="H138" s="9" t="n"/>
      <c r="I138" s="9" t="n"/>
      <c r="J138" s="14">
        <f>IF(I138="","",IF(LOWER(I138)="win",H138,IF(LOWER(I138)="loss",-1,IF(LOWER(I138)="breakeven",0,""))))</f>
        <v/>
      </c>
      <c r="K138" s="9" t="n"/>
    </row>
    <row r="139">
      <c r="A139" s="8" t="n"/>
      <c r="B139" s="9" t="n"/>
      <c r="C139" s="9" t="n"/>
      <c r="D139" s="9" t="n"/>
      <c r="E139" s="10" t="n"/>
      <c r="F139" s="10" t="n"/>
      <c r="G139" s="10" t="n"/>
      <c r="H139" s="9" t="n"/>
      <c r="I139" s="9" t="n"/>
      <c r="J139" s="14">
        <f>IF(I139="","",IF(LOWER(I139)="win",H139,IF(LOWER(I139)="loss",-1,IF(LOWER(I139)="breakeven",0,""))))</f>
        <v/>
      </c>
      <c r="K139" s="9" t="n"/>
    </row>
    <row r="140">
      <c r="A140" s="8" t="n"/>
      <c r="B140" s="9" t="n"/>
      <c r="C140" s="9" t="n"/>
      <c r="D140" s="9" t="n"/>
      <c r="E140" s="10" t="n"/>
      <c r="F140" s="10" t="n"/>
      <c r="G140" s="10" t="n"/>
      <c r="H140" s="9" t="n"/>
      <c r="I140" s="9" t="n"/>
      <c r="J140" s="14">
        <f>IF(I140="","",IF(LOWER(I140)="win",H140,IF(LOWER(I140)="loss",-1,IF(LOWER(I140)="breakeven",0,""))))</f>
        <v/>
      </c>
      <c r="K140" s="9" t="n"/>
    </row>
    <row r="141">
      <c r="A141" s="8" t="n"/>
      <c r="B141" s="9" t="n"/>
      <c r="C141" s="9" t="n"/>
      <c r="D141" s="9" t="n"/>
      <c r="E141" s="10" t="n"/>
      <c r="F141" s="10" t="n"/>
      <c r="G141" s="10" t="n"/>
      <c r="H141" s="9" t="n"/>
      <c r="I141" s="9" t="n"/>
      <c r="J141" s="14">
        <f>IF(I141="","",IF(LOWER(I141)="win",H141,IF(LOWER(I141)="loss",-1,IF(LOWER(I141)="breakeven",0,""))))</f>
        <v/>
      </c>
      <c r="K141" s="9" t="n"/>
    </row>
    <row r="142">
      <c r="A142" s="8" t="n"/>
      <c r="B142" s="9" t="n"/>
      <c r="C142" s="9" t="n"/>
      <c r="D142" s="9" t="n"/>
      <c r="E142" s="10" t="n"/>
      <c r="F142" s="10" t="n"/>
      <c r="G142" s="10" t="n"/>
      <c r="H142" s="9" t="n"/>
      <c r="I142" s="9" t="n"/>
      <c r="J142" s="14">
        <f>IF(I142="","",IF(LOWER(I142)="win",H142,IF(LOWER(I142)="loss",-1,IF(LOWER(I142)="breakeven",0,""))))</f>
        <v/>
      </c>
      <c r="K142" s="9" t="n"/>
    </row>
    <row r="143">
      <c r="A143" s="8" t="n"/>
      <c r="B143" s="9" t="n"/>
      <c r="C143" s="9" t="n"/>
      <c r="D143" s="9" t="n"/>
      <c r="E143" s="10" t="n"/>
      <c r="F143" s="10" t="n"/>
      <c r="G143" s="10" t="n"/>
      <c r="H143" s="9" t="n"/>
      <c r="I143" s="9" t="n"/>
      <c r="J143" s="14">
        <f>IF(I143="","",IF(LOWER(I143)="win",H143,IF(LOWER(I143)="loss",-1,IF(LOWER(I143)="breakeven",0,""))))</f>
        <v/>
      </c>
      <c r="K143" s="9" t="n"/>
    </row>
    <row r="144">
      <c r="A144" s="8" t="n"/>
      <c r="B144" s="9" t="n"/>
      <c r="C144" s="9" t="n"/>
      <c r="D144" s="9" t="n"/>
      <c r="E144" s="10" t="n"/>
      <c r="F144" s="10" t="n"/>
      <c r="G144" s="10" t="n"/>
      <c r="H144" s="9" t="n"/>
      <c r="I144" s="9" t="n"/>
      <c r="J144" s="14">
        <f>IF(I144="","",IF(LOWER(I144)="win",H144,IF(LOWER(I144)="loss",-1,IF(LOWER(I144)="breakeven",0,""))))</f>
        <v/>
      </c>
      <c r="K144" s="9" t="n"/>
    </row>
    <row r="145">
      <c r="A145" s="8" t="n"/>
      <c r="B145" s="9" t="n"/>
      <c r="C145" s="9" t="n"/>
      <c r="D145" s="9" t="n"/>
      <c r="E145" s="10" t="n"/>
      <c r="F145" s="10" t="n"/>
      <c r="G145" s="10" t="n"/>
      <c r="H145" s="9" t="n"/>
      <c r="I145" s="9" t="n"/>
      <c r="J145" s="14">
        <f>IF(I145="","",IF(LOWER(I145)="win",H145,IF(LOWER(I145)="loss",-1,IF(LOWER(I145)="breakeven",0,""))))</f>
        <v/>
      </c>
      <c r="K145" s="9" t="n"/>
    </row>
    <row r="146">
      <c r="A146" s="8" t="n"/>
      <c r="B146" s="9" t="n"/>
      <c r="C146" s="9" t="n"/>
      <c r="D146" s="9" t="n"/>
      <c r="E146" s="10" t="n"/>
      <c r="F146" s="10" t="n"/>
      <c r="G146" s="10" t="n"/>
      <c r="H146" s="9" t="n"/>
      <c r="I146" s="9" t="n"/>
      <c r="J146" s="14">
        <f>IF(I146="","",IF(LOWER(I146)="win",H146,IF(LOWER(I146)="loss",-1,IF(LOWER(I146)="breakeven",0,""))))</f>
        <v/>
      </c>
      <c r="K146" s="9" t="n"/>
    </row>
    <row r="147">
      <c r="A147" s="8" t="n"/>
      <c r="B147" s="9" t="n"/>
      <c r="C147" s="9" t="n"/>
      <c r="D147" s="9" t="n"/>
      <c r="E147" s="10" t="n"/>
      <c r="F147" s="10" t="n"/>
      <c r="G147" s="10" t="n"/>
      <c r="H147" s="9" t="n"/>
      <c r="I147" s="9" t="n"/>
      <c r="J147" s="14">
        <f>IF(I147="","",IF(LOWER(I147)="win",H147,IF(LOWER(I147)="loss",-1,IF(LOWER(I147)="breakeven",0,""))))</f>
        <v/>
      </c>
      <c r="K147" s="9" t="n"/>
    </row>
    <row r="148">
      <c r="A148" s="8" t="n"/>
      <c r="B148" s="9" t="n"/>
      <c r="C148" s="9" t="n"/>
      <c r="D148" s="9" t="n"/>
      <c r="E148" s="10" t="n"/>
      <c r="F148" s="10" t="n"/>
      <c r="G148" s="10" t="n"/>
      <c r="H148" s="9" t="n"/>
      <c r="I148" s="9" t="n"/>
      <c r="J148" s="14">
        <f>IF(I148="","",IF(LOWER(I148)="win",H148,IF(LOWER(I148)="loss",-1,IF(LOWER(I148)="breakeven",0,""))))</f>
        <v/>
      </c>
      <c r="K148" s="9" t="n"/>
    </row>
    <row r="149">
      <c r="A149" s="8" t="n"/>
      <c r="B149" s="9" t="n"/>
      <c r="C149" s="9" t="n"/>
      <c r="D149" s="9" t="n"/>
      <c r="E149" s="10" t="n"/>
      <c r="F149" s="10" t="n"/>
      <c r="G149" s="10" t="n"/>
      <c r="H149" s="9" t="n"/>
      <c r="I149" s="9" t="n"/>
      <c r="J149" s="14">
        <f>IF(I149="","",IF(LOWER(I149)="win",H149,IF(LOWER(I149)="loss",-1,IF(LOWER(I149)="breakeven",0,""))))</f>
        <v/>
      </c>
      <c r="K149" s="9" t="n"/>
    </row>
    <row r="150">
      <c r="A150" s="8" t="n"/>
      <c r="B150" s="9" t="n"/>
      <c r="C150" s="9" t="n"/>
      <c r="D150" s="9" t="n"/>
      <c r="E150" s="10" t="n"/>
      <c r="F150" s="10" t="n"/>
      <c r="G150" s="10" t="n"/>
      <c r="H150" s="9" t="n"/>
      <c r="I150" s="9" t="n"/>
      <c r="J150" s="14">
        <f>IF(I150="","",IF(LOWER(I150)="win",H150,IF(LOWER(I150)="loss",-1,IF(LOWER(I150)="breakeven",0,""))))</f>
        <v/>
      </c>
      <c r="K150" s="9" t="n"/>
    </row>
    <row r="151">
      <c r="A151" s="8" t="n"/>
      <c r="B151" s="9" t="n"/>
      <c r="C151" s="9" t="n"/>
      <c r="D151" s="9" t="n"/>
      <c r="E151" s="10" t="n"/>
      <c r="F151" s="10" t="n"/>
      <c r="G151" s="10" t="n"/>
      <c r="H151" s="9" t="n"/>
      <c r="I151" s="9" t="n"/>
      <c r="J151" s="14">
        <f>IF(I151="","",IF(LOWER(I151)="win",H151,IF(LOWER(I151)="loss",-1,IF(LOWER(I151)="breakeven",0,""))))</f>
        <v/>
      </c>
      <c r="K151" s="9" t="n"/>
    </row>
    <row r="152">
      <c r="A152" s="8" t="n"/>
      <c r="B152" s="9" t="n"/>
      <c r="C152" s="9" t="n"/>
      <c r="D152" s="9" t="n"/>
      <c r="E152" s="10" t="n"/>
      <c r="F152" s="10" t="n"/>
      <c r="G152" s="10" t="n"/>
      <c r="H152" s="9" t="n"/>
      <c r="I152" s="9" t="n"/>
      <c r="J152" s="14">
        <f>IF(I152="","",IF(LOWER(I152)="win",H152,IF(LOWER(I152)="loss",-1,IF(LOWER(I152)="breakeven",0,""))))</f>
        <v/>
      </c>
      <c r="K152" s="9" t="n"/>
    </row>
    <row r="153">
      <c r="A153" s="8" t="n"/>
      <c r="B153" s="9" t="n"/>
      <c r="C153" s="9" t="n"/>
      <c r="D153" s="9" t="n"/>
      <c r="E153" s="10" t="n"/>
      <c r="F153" s="10" t="n"/>
      <c r="G153" s="10" t="n"/>
      <c r="H153" s="9" t="n"/>
      <c r="I153" s="9" t="n"/>
      <c r="J153" s="14">
        <f>IF(I153="","",IF(LOWER(I153)="win",H153,IF(LOWER(I153)="loss",-1,IF(LOWER(I153)="breakeven",0,""))))</f>
        <v/>
      </c>
      <c r="K153" s="9" t="n"/>
    </row>
    <row r="154">
      <c r="A154" s="8" t="n"/>
      <c r="B154" s="9" t="n"/>
      <c r="C154" s="9" t="n"/>
      <c r="D154" s="9" t="n"/>
      <c r="E154" s="10" t="n"/>
      <c r="F154" s="10" t="n"/>
      <c r="G154" s="10" t="n"/>
      <c r="H154" s="9" t="n"/>
      <c r="I154" s="9" t="n"/>
      <c r="J154" s="14">
        <f>IF(I154="","",IF(LOWER(I154)="win",H154,IF(LOWER(I154)="loss",-1,IF(LOWER(I154)="breakeven",0,""))))</f>
        <v/>
      </c>
      <c r="K154" s="9" t="n"/>
    </row>
    <row r="155">
      <c r="A155" s="8" t="n"/>
      <c r="B155" s="9" t="n"/>
      <c r="C155" s="9" t="n"/>
      <c r="D155" s="9" t="n"/>
      <c r="E155" s="10" t="n"/>
      <c r="F155" s="10" t="n"/>
      <c r="G155" s="10" t="n"/>
      <c r="H155" s="9" t="n"/>
      <c r="I155" s="9" t="n"/>
      <c r="J155" s="14">
        <f>IF(I155="","",IF(LOWER(I155)="win",H155,IF(LOWER(I155)="loss",-1,IF(LOWER(I155)="breakeven",0,""))))</f>
        <v/>
      </c>
      <c r="K155" s="9" t="n"/>
    </row>
    <row r="156">
      <c r="A156" s="8" t="n"/>
      <c r="B156" s="9" t="n"/>
      <c r="C156" s="9" t="n"/>
      <c r="D156" s="9" t="n"/>
      <c r="E156" s="10" t="n"/>
      <c r="F156" s="10" t="n"/>
      <c r="G156" s="10" t="n"/>
      <c r="H156" s="9" t="n"/>
      <c r="I156" s="9" t="n"/>
      <c r="J156" s="14">
        <f>IF(I156="","",IF(LOWER(I156)="win",H156,IF(LOWER(I156)="loss",-1,IF(LOWER(I156)="breakeven",0,""))))</f>
        <v/>
      </c>
      <c r="K156" s="9" t="n"/>
    </row>
    <row r="157">
      <c r="A157" s="8" t="n"/>
      <c r="B157" s="9" t="n"/>
      <c r="C157" s="9" t="n"/>
      <c r="D157" s="9" t="n"/>
      <c r="E157" s="10" t="n"/>
      <c r="F157" s="10" t="n"/>
      <c r="G157" s="10" t="n"/>
      <c r="H157" s="9" t="n"/>
      <c r="I157" s="9" t="n"/>
      <c r="J157" s="14">
        <f>IF(I157="","",IF(LOWER(I157)="win",H157,IF(LOWER(I157)="loss",-1,IF(LOWER(I157)="breakeven",0,""))))</f>
        <v/>
      </c>
      <c r="K157" s="9" t="n"/>
    </row>
    <row r="158">
      <c r="A158" s="8" t="n"/>
      <c r="B158" s="9" t="n"/>
      <c r="C158" s="9" t="n"/>
      <c r="D158" s="9" t="n"/>
      <c r="E158" s="10" t="n"/>
      <c r="F158" s="10" t="n"/>
      <c r="G158" s="10" t="n"/>
      <c r="H158" s="9" t="n"/>
      <c r="I158" s="9" t="n"/>
      <c r="J158" s="14">
        <f>IF(I158="","",IF(LOWER(I158)="win",H158,IF(LOWER(I158)="loss",-1,IF(LOWER(I158)="breakeven",0,""))))</f>
        <v/>
      </c>
      <c r="K158" s="9" t="n"/>
    </row>
    <row r="159">
      <c r="A159" s="8" t="n"/>
      <c r="B159" s="9" t="n"/>
      <c r="C159" s="9" t="n"/>
      <c r="D159" s="9" t="n"/>
      <c r="E159" s="10" t="n"/>
      <c r="F159" s="10" t="n"/>
      <c r="G159" s="10" t="n"/>
      <c r="H159" s="9" t="n"/>
      <c r="I159" s="9" t="n"/>
      <c r="J159" s="14">
        <f>IF(I159="","",IF(LOWER(I159)="win",H159,IF(LOWER(I159)="loss",-1,IF(LOWER(I159)="breakeven",0,""))))</f>
        <v/>
      </c>
      <c r="K159" s="9" t="n"/>
    </row>
    <row r="160">
      <c r="A160" s="8" t="n"/>
      <c r="B160" s="9" t="n"/>
      <c r="C160" s="9" t="n"/>
      <c r="D160" s="9" t="n"/>
      <c r="E160" s="10" t="n"/>
      <c r="F160" s="10" t="n"/>
      <c r="G160" s="10" t="n"/>
      <c r="H160" s="9" t="n"/>
      <c r="I160" s="9" t="n"/>
      <c r="J160" s="14">
        <f>IF(I160="","",IF(LOWER(I160)="win",H160,IF(LOWER(I160)="loss",-1,IF(LOWER(I160)="breakeven",0,""))))</f>
        <v/>
      </c>
      <c r="K160" s="9" t="n"/>
    </row>
    <row r="161">
      <c r="A161" s="8" t="n"/>
      <c r="B161" s="9" t="n"/>
      <c r="C161" s="9" t="n"/>
      <c r="D161" s="9" t="n"/>
      <c r="E161" s="10" t="n"/>
      <c r="F161" s="10" t="n"/>
      <c r="G161" s="10" t="n"/>
      <c r="H161" s="9" t="n"/>
      <c r="I161" s="9" t="n"/>
      <c r="J161" s="14">
        <f>IF(I161="","",IF(LOWER(I161)="win",H161,IF(LOWER(I161)="loss",-1,IF(LOWER(I161)="breakeven",0,""))))</f>
        <v/>
      </c>
      <c r="K161" s="9" t="n"/>
    </row>
    <row r="162">
      <c r="A162" s="8" t="n"/>
      <c r="B162" s="9" t="n"/>
      <c r="C162" s="9" t="n"/>
      <c r="D162" s="9" t="n"/>
      <c r="E162" s="10" t="n"/>
      <c r="F162" s="10" t="n"/>
      <c r="G162" s="10" t="n"/>
      <c r="H162" s="9" t="n"/>
      <c r="I162" s="9" t="n"/>
      <c r="J162" s="14">
        <f>IF(I162="","",IF(LOWER(I162)="win",H162,IF(LOWER(I162)="loss",-1,IF(LOWER(I162)="breakeven",0,""))))</f>
        <v/>
      </c>
      <c r="K162" s="9" t="n"/>
    </row>
    <row r="163">
      <c r="A163" s="8" t="n"/>
      <c r="B163" s="9" t="n"/>
      <c r="C163" s="9" t="n"/>
      <c r="D163" s="9" t="n"/>
      <c r="E163" s="10" t="n"/>
      <c r="F163" s="10" t="n"/>
      <c r="G163" s="10" t="n"/>
      <c r="H163" s="9" t="n"/>
      <c r="I163" s="9" t="n"/>
      <c r="J163" s="14">
        <f>IF(I163="","",IF(LOWER(I163)="win",H163,IF(LOWER(I163)="loss",-1,IF(LOWER(I163)="breakeven",0,""))))</f>
        <v/>
      </c>
      <c r="K163" s="9" t="n"/>
    </row>
    <row r="164">
      <c r="A164" s="8" t="n"/>
      <c r="B164" s="9" t="n"/>
      <c r="C164" s="9" t="n"/>
      <c r="D164" s="9" t="n"/>
      <c r="E164" s="10" t="n"/>
      <c r="F164" s="10" t="n"/>
      <c r="G164" s="10" t="n"/>
      <c r="H164" s="9" t="n"/>
      <c r="I164" s="9" t="n"/>
      <c r="J164" s="14">
        <f>IF(I164="","",IF(LOWER(I164)="win",H164,IF(LOWER(I164)="loss",-1,IF(LOWER(I164)="breakeven",0,""))))</f>
        <v/>
      </c>
      <c r="K164" s="9" t="n"/>
    </row>
    <row r="165">
      <c r="A165" s="8" t="n"/>
      <c r="B165" s="9" t="n"/>
      <c r="C165" s="9" t="n"/>
      <c r="D165" s="9" t="n"/>
      <c r="E165" s="10" t="n"/>
      <c r="F165" s="10" t="n"/>
      <c r="G165" s="10" t="n"/>
      <c r="H165" s="9" t="n"/>
      <c r="I165" s="9" t="n"/>
      <c r="J165" s="14">
        <f>IF(I165="","",IF(LOWER(I165)="win",H165,IF(LOWER(I165)="loss",-1,IF(LOWER(I165)="breakeven",0,""))))</f>
        <v/>
      </c>
      <c r="K165" s="9" t="n"/>
    </row>
    <row r="166">
      <c r="A166" s="8" t="n"/>
      <c r="B166" s="9" t="n"/>
      <c r="C166" s="9" t="n"/>
      <c r="D166" s="9" t="n"/>
      <c r="E166" s="10" t="n"/>
      <c r="F166" s="10" t="n"/>
      <c r="G166" s="10" t="n"/>
      <c r="H166" s="9" t="n"/>
      <c r="I166" s="9" t="n"/>
      <c r="J166" s="14">
        <f>IF(I166="","",IF(LOWER(I166)="win",H166,IF(LOWER(I166)="loss",-1,IF(LOWER(I166)="breakeven",0,""))))</f>
        <v/>
      </c>
      <c r="K166" s="9" t="n"/>
    </row>
    <row r="167">
      <c r="A167" s="8" t="n"/>
      <c r="B167" s="9" t="n"/>
      <c r="C167" s="9" t="n"/>
      <c r="D167" s="9" t="n"/>
      <c r="E167" s="10" t="n"/>
      <c r="F167" s="10" t="n"/>
      <c r="G167" s="10" t="n"/>
      <c r="H167" s="9" t="n"/>
      <c r="I167" s="9" t="n"/>
      <c r="J167" s="14">
        <f>IF(I167="","",IF(LOWER(I167)="win",H167,IF(LOWER(I167)="loss",-1,IF(LOWER(I167)="breakeven",0,""))))</f>
        <v/>
      </c>
      <c r="K167" s="9" t="n"/>
    </row>
    <row r="168">
      <c r="A168" s="8" t="n"/>
      <c r="B168" s="9" t="n"/>
      <c r="C168" s="9" t="n"/>
      <c r="D168" s="9" t="n"/>
      <c r="E168" s="10" t="n"/>
      <c r="F168" s="10" t="n"/>
      <c r="G168" s="10" t="n"/>
      <c r="H168" s="9" t="n"/>
      <c r="I168" s="9" t="n"/>
      <c r="J168" s="14">
        <f>IF(I168="","",IF(LOWER(I168)="win",H168,IF(LOWER(I168)="loss",-1,IF(LOWER(I168)="breakeven",0,""))))</f>
        <v/>
      </c>
      <c r="K168" s="9" t="n"/>
    </row>
    <row r="169">
      <c r="A169" s="8" t="n"/>
      <c r="B169" s="9" t="n"/>
      <c r="C169" s="9" t="n"/>
      <c r="D169" s="9" t="n"/>
      <c r="E169" s="10" t="n"/>
      <c r="F169" s="10" t="n"/>
      <c r="G169" s="10" t="n"/>
      <c r="H169" s="9" t="n"/>
      <c r="I169" s="9" t="n"/>
      <c r="J169" s="14">
        <f>IF(I169="","",IF(LOWER(I169)="win",H169,IF(LOWER(I169)="loss",-1,IF(LOWER(I169)="breakeven",0,""))))</f>
        <v/>
      </c>
      <c r="K169" s="9" t="n"/>
    </row>
    <row r="170">
      <c r="A170" s="8" t="n"/>
      <c r="B170" s="9" t="n"/>
      <c r="C170" s="9" t="n"/>
      <c r="D170" s="9" t="n"/>
      <c r="E170" s="10" t="n"/>
      <c r="F170" s="10" t="n"/>
      <c r="G170" s="10" t="n"/>
      <c r="H170" s="9" t="n"/>
      <c r="I170" s="9" t="n"/>
      <c r="J170" s="14">
        <f>IF(I170="","",IF(LOWER(I170)="win",H170,IF(LOWER(I170)="loss",-1,IF(LOWER(I170)="breakeven",0,""))))</f>
        <v/>
      </c>
      <c r="K170" s="9" t="n"/>
    </row>
    <row r="171">
      <c r="A171" s="8" t="n"/>
      <c r="B171" s="9" t="n"/>
      <c r="C171" s="9" t="n"/>
      <c r="D171" s="9" t="n"/>
      <c r="E171" s="10" t="n"/>
      <c r="F171" s="10" t="n"/>
      <c r="G171" s="10" t="n"/>
      <c r="H171" s="9" t="n"/>
      <c r="I171" s="9" t="n"/>
      <c r="J171" s="14">
        <f>IF(I171="","",IF(LOWER(I171)="win",H171,IF(LOWER(I171)="loss",-1,IF(LOWER(I171)="breakeven",0,""))))</f>
        <v/>
      </c>
      <c r="K171" s="9" t="n"/>
    </row>
    <row r="172">
      <c r="A172" s="8" t="n"/>
      <c r="B172" s="9" t="n"/>
      <c r="C172" s="9" t="n"/>
      <c r="D172" s="9" t="n"/>
      <c r="E172" s="10" t="n"/>
      <c r="F172" s="10" t="n"/>
      <c r="G172" s="10" t="n"/>
      <c r="H172" s="9" t="n"/>
      <c r="I172" s="9" t="n"/>
      <c r="J172" s="14">
        <f>IF(I172="","",IF(LOWER(I172)="win",H172,IF(LOWER(I172)="loss",-1,IF(LOWER(I172)="breakeven",0,""))))</f>
        <v/>
      </c>
      <c r="K172" s="9" t="n"/>
    </row>
    <row r="173">
      <c r="A173" s="8" t="n"/>
      <c r="B173" s="9" t="n"/>
      <c r="C173" s="9" t="n"/>
      <c r="D173" s="9" t="n"/>
      <c r="E173" s="10" t="n"/>
      <c r="F173" s="10" t="n"/>
      <c r="G173" s="10" t="n"/>
      <c r="H173" s="9" t="n"/>
      <c r="I173" s="9" t="n"/>
      <c r="J173" s="14">
        <f>IF(I173="","",IF(LOWER(I173)="win",H173,IF(LOWER(I173)="loss",-1,IF(LOWER(I173)="breakeven",0,""))))</f>
        <v/>
      </c>
      <c r="K173" s="9" t="n"/>
    </row>
    <row r="174">
      <c r="A174" s="8" t="n"/>
      <c r="B174" s="9" t="n"/>
      <c r="C174" s="9" t="n"/>
      <c r="D174" s="9" t="n"/>
      <c r="E174" s="10" t="n"/>
      <c r="F174" s="10" t="n"/>
      <c r="G174" s="10" t="n"/>
      <c r="H174" s="9" t="n"/>
      <c r="I174" s="9" t="n"/>
      <c r="J174" s="14">
        <f>IF(I174="","",IF(LOWER(I174)="win",H174,IF(LOWER(I174)="loss",-1,IF(LOWER(I174)="breakeven",0,""))))</f>
        <v/>
      </c>
      <c r="K174" s="9" t="n"/>
    </row>
    <row r="175">
      <c r="A175" s="8" t="n"/>
      <c r="B175" s="9" t="n"/>
      <c r="C175" s="9" t="n"/>
      <c r="D175" s="9" t="n"/>
      <c r="E175" s="10" t="n"/>
      <c r="F175" s="10" t="n"/>
      <c r="G175" s="10" t="n"/>
      <c r="H175" s="9" t="n"/>
      <c r="I175" s="9" t="n"/>
      <c r="J175" s="14">
        <f>IF(I175="","",IF(LOWER(I175)="win",H175,IF(LOWER(I175)="loss",-1,IF(LOWER(I175)="breakeven",0,""))))</f>
        <v/>
      </c>
      <c r="K175" s="9" t="n"/>
    </row>
    <row r="176">
      <c r="A176" s="8" t="n"/>
      <c r="B176" s="9" t="n"/>
      <c r="C176" s="9" t="n"/>
      <c r="D176" s="9" t="n"/>
      <c r="E176" s="10" t="n"/>
      <c r="F176" s="10" t="n"/>
      <c r="G176" s="10" t="n"/>
      <c r="H176" s="9" t="n"/>
      <c r="I176" s="9" t="n"/>
      <c r="J176" s="14">
        <f>IF(I176="","",IF(LOWER(I176)="win",H176,IF(LOWER(I176)="loss",-1,IF(LOWER(I176)="breakeven",0,""))))</f>
        <v/>
      </c>
      <c r="K176" s="9" t="n"/>
    </row>
    <row r="177">
      <c r="A177" s="8" t="n"/>
      <c r="B177" s="9" t="n"/>
      <c r="C177" s="9" t="n"/>
      <c r="D177" s="9" t="n"/>
      <c r="E177" s="10" t="n"/>
      <c r="F177" s="10" t="n"/>
      <c r="G177" s="10" t="n"/>
      <c r="H177" s="9" t="n"/>
      <c r="I177" s="9" t="n"/>
      <c r="J177" s="14">
        <f>IF(I177="","",IF(LOWER(I177)="win",H177,IF(LOWER(I177)="loss",-1,IF(LOWER(I177)="breakeven",0,""))))</f>
        <v/>
      </c>
      <c r="K177" s="9" t="n"/>
    </row>
    <row r="178">
      <c r="A178" s="8" t="n"/>
      <c r="B178" s="9" t="n"/>
      <c r="C178" s="9" t="n"/>
      <c r="D178" s="9" t="n"/>
      <c r="E178" s="10" t="n"/>
      <c r="F178" s="10" t="n"/>
      <c r="G178" s="10" t="n"/>
      <c r="H178" s="9" t="n"/>
      <c r="I178" s="9" t="n"/>
      <c r="J178" s="14">
        <f>IF(I178="","",IF(LOWER(I178)="win",H178,IF(LOWER(I178)="loss",-1,IF(LOWER(I178)="breakeven",0,""))))</f>
        <v/>
      </c>
      <c r="K178" s="9" t="n"/>
    </row>
    <row r="179">
      <c r="A179" s="8" t="n"/>
      <c r="B179" s="9" t="n"/>
      <c r="C179" s="9" t="n"/>
      <c r="D179" s="9" t="n"/>
      <c r="E179" s="10" t="n"/>
      <c r="F179" s="10" t="n"/>
      <c r="G179" s="10" t="n"/>
      <c r="H179" s="9" t="n"/>
      <c r="I179" s="9" t="n"/>
      <c r="J179" s="14">
        <f>IF(I179="","",IF(LOWER(I179)="win",H179,IF(LOWER(I179)="loss",-1,IF(LOWER(I179)="breakeven",0,""))))</f>
        <v/>
      </c>
      <c r="K179" s="9" t="n"/>
    </row>
    <row r="180">
      <c r="A180" s="8" t="n"/>
      <c r="B180" s="9" t="n"/>
      <c r="C180" s="9" t="n"/>
      <c r="D180" s="9" t="n"/>
      <c r="E180" s="10" t="n"/>
      <c r="F180" s="10" t="n"/>
      <c r="G180" s="10" t="n"/>
      <c r="H180" s="9" t="n"/>
      <c r="I180" s="9" t="n"/>
      <c r="J180" s="14">
        <f>IF(I180="","",IF(LOWER(I180)="win",H180,IF(LOWER(I180)="loss",-1,IF(LOWER(I180)="breakeven",0,""))))</f>
        <v/>
      </c>
      <c r="K180" s="9" t="n"/>
    </row>
    <row r="181">
      <c r="A181" s="8" t="n"/>
      <c r="B181" s="9" t="n"/>
      <c r="C181" s="9" t="n"/>
      <c r="D181" s="9" t="n"/>
      <c r="E181" s="10" t="n"/>
      <c r="F181" s="10" t="n"/>
      <c r="G181" s="10" t="n"/>
      <c r="H181" s="9" t="n"/>
      <c r="I181" s="9" t="n"/>
      <c r="J181" s="14">
        <f>IF(I181="","",IF(LOWER(I181)="win",H181,IF(LOWER(I181)="loss",-1,IF(LOWER(I181)="breakeven",0,""))))</f>
        <v/>
      </c>
      <c r="K181" s="9" t="n"/>
    </row>
    <row r="182">
      <c r="A182" s="8" t="n"/>
      <c r="B182" s="9" t="n"/>
      <c r="C182" s="9" t="n"/>
      <c r="D182" s="9" t="n"/>
      <c r="E182" s="10" t="n"/>
      <c r="F182" s="10" t="n"/>
      <c r="G182" s="10" t="n"/>
      <c r="H182" s="9" t="n"/>
      <c r="I182" s="9" t="n"/>
      <c r="J182" s="14">
        <f>IF(I182="","",IF(LOWER(I182)="win",H182,IF(LOWER(I182)="loss",-1,IF(LOWER(I182)="breakeven",0,""))))</f>
        <v/>
      </c>
      <c r="K182" s="9" t="n"/>
    </row>
    <row r="183">
      <c r="A183" s="8" t="n"/>
      <c r="B183" s="9" t="n"/>
      <c r="C183" s="9" t="n"/>
      <c r="D183" s="9" t="n"/>
      <c r="E183" s="10" t="n"/>
      <c r="F183" s="10" t="n"/>
      <c r="G183" s="10" t="n"/>
      <c r="H183" s="9" t="n"/>
      <c r="I183" s="9" t="n"/>
      <c r="J183" s="14">
        <f>IF(I183="","",IF(LOWER(I183)="win",H183,IF(LOWER(I183)="loss",-1,IF(LOWER(I183)="breakeven",0,""))))</f>
        <v/>
      </c>
      <c r="K183" s="9" t="n"/>
    </row>
    <row r="184">
      <c r="A184" s="8" t="n"/>
      <c r="B184" s="9" t="n"/>
      <c r="C184" s="9" t="n"/>
      <c r="D184" s="9" t="n"/>
      <c r="E184" s="10" t="n"/>
      <c r="F184" s="10" t="n"/>
      <c r="G184" s="10" t="n"/>
      <c r="H184" s="9" t="n"/>
      <c r="I184" s="9" t="n"/>
      <c r="J184" s="14">
        <f>IF(I184="","",IF(LOWER(I184)="win",H184,IF(LOWER(I184)="loss",-1,IF(LOWER(I184)="breakeven",0,""))))</f>
        <v/>
      </c>
      <c r="K184" s="9" t="n"/>
    </row>
    <row r="185">
      <c r="A185" s="8" t="n"/>
      <c r="B185" s="9" t="n"/>
      <c r="C185" s="9" t="n"/>
      <c r="D185" s="9" t="n"/>
      <c r="E185" s="10" t="n"/>
      <c r="F185" s="10" t="n"/>
      <c r="G185" s="10" t="n"/>
      <c r="H185" s="9" t="n"/>
      <c r="I185" s="9" t="n"/>
      <c r="J185" s="14">
        <f>IF(I185="","",IF(LOWER(I185)="win",H185,IF(LOWER(I185)="loss",-1,IF(LOWER(I185)="breakeven",0,""))))</f>
        <v/>
      </c>
      <c r="K185" s="9" t="n"/>
    </row>
    <row r="186">
      <c r="A186" s="8" t="n"/>
      <c r="B186" s="9" t="n"/>
      <c r="C186" s="9" t="n"/>
      <c r="D186" s="9" t="n"/>
      <c r="E186" s="10" t="n"/>
      <c r="F186" s="10" t="n"/>
      <c r="G186" s="10" t="n"/>
      <c r="H186" s="9" t="n"/>
      <c r="I186" s="9" t="n"/>
      <c r="J186" s="14">
        <f>IF(I186="","",IF(LOWER(I186)="win",H186,IF(LOWER(I186)="loss",-1,IF(LOWER(I186)="breakeven",0,""))))</f>
        <v/>
      </c>
      <c r="K186" s="9" t="n"/>
    </row>
    <row r="187">
      <c r="A187" s="8" t="n"/>
      <c r="B187" s="9" t="n"/>
      <c r="C187" s="9" t="n"/>
      <c r="D187" s="9" t="n"/>
      <c r="E187" s="10" t="n"/>
      <c r="F187" s="10" t="n"/>
      <c r="G187" s="10" t="n"/>
      <c r="H187" s="9" t="n"/>
      <c r="I187" s="9" t="n"/>
      <c r="J187" s="14">
        <f>IF(I187="","",IF(LOWER(I187)="win",H187,IF(LOWER(I187)="loss",-1,IF(LOWER(I187)="breakeven",0,""))))</f>
        <v/>
      </c>
      <c r="K187" s="9" t="n"/>
    </row>
    <row r="188">
      <c r="A188" s="8" t="n"/>
      <c r="B188" s="9" t="n"/>
      <c r="C188" s="9" t="n"/>
      <c r="D188" s="9" t="n"/>
      <c r="E188" s="10" t="n"/>
      <c r="F188" s="10" t="n"/>
      <c r="G188" s="10" t="n"/>
      <c r="H188" s="9" t="n"/>
      <c r="I188" s="9" t="n"/>
      <c r="J188" s="14">
        <f>IF(I188="","",IF(LOWER(I188)="win",H188,IF(LOWER(I188)="loss",-1,IF(LOWER(I188)="breakeven",0,""))))</f>
        <v/>
      </c>
      <c r="K188" s="9" t="n"/>
    </row>
    <row r="189">
      <c r="A189" s="8" t="n"/>
      <c r="B189" s="9" t="n"/>
      <c r="C189" s="9" t="n"/>
      <c r="D189" s="9" t="n"/>
      <c r="E189" s="10" t="n"/>
      <c r="F189" s="10" t="n"/>
      <c r="G189" s="10" t="n"/>
      <c r="H189" s="9" t="n"/>
      <c r="I189" s="9" t="n"/>
      <c r="J189" s="14">
        <f>IF(I189="","",IF(LOWER(I189)="win",H189,IF(LOWER(I189)="loss",-1,IF(LOWER(I189)="breakeven",0,""))))</f>
        <v/>
      </c>
      <c r="K189" s="9" t="n"/>
    </row>
    <row r="190">
      <c r="A190" s="8" t="n"/>
      <c r="B190" s="9" t="n"/>
      <c r="C190" s="9" t="n"/>
      <c r="D190" s="9" t="n"/>
      <c r="E190" s="10" t="n"/>
      <c r="F190" s="10" t="n"/>
      <c r="G190" s="10" t="n"/>
      <c r="H190" s="9" t="n"/>
      <c r="I190" s="9" t="n"/>
      <c r="J190" s="14">
        <f>IF(I190="","",IF(LOWER(I190)="win",H190,IF(LOWER(I190)="loss",-1,IF(LOWER(I190)="breakeven",0,""))))</f>
        <v/>
      </c>
      <c r="K190" s="9" t="n"/>
    </row>
    <row r="191">
      <c r="A191" s="8" t="n"/>
      <c r="B191" s="9" t="n"/>
      <c r="C191" s="9" t="n"/>
      <c r="D191" s="9" t="n"/>
      <c r="E191" s="10" t="n"/>
      <c r="F191" s="10" t="n"/>
      <c r="G191" s="10" t="n"/>
      <c r="H191" s="9" t="n"/>
      <c r="I191" s="9" t="n"/>
      <c r="J191" s="14">
        <f>IF(I191="","",IF(LOWER(I191)="win",H191,IF(LOWER(I191)="loss",-1,IF(LOWER(I191)="breakeven",0,""))))</f>
        <v/>
      </c>
      <c r="K191" s="9" t="n"/>
    </row>
    <row r="192">
      <c r="A192" s="8" t="n"/>
      <c r="B192" s="9" t="n"/>
      <c r="C192" s="9" t="n"/>
      <c r="D192" s="9" t="n"/>
      <c r="E192" s="10" t="n"/>
      <c r="F192" s="10" t="n"/>
      <c r="G192" s="10" t="n"/>
      <c r="H192" s="9" t="n"/>
      <c r="I192" s="9" t="n"/>
      <c r="J192" s="14">
        <f>IF(I192="","",IF(LOWER(I192)="win",H192,IF(LOWER(I192)="loss",-1,IF(LOWER(I192)="breakeven",0,""))))</f>
        <v/>
      </c>
      <c r="K192" s="9" t="n"/>
    </row>
    <row r="193">
      <c r="A193" s="8" t="n"/>
      <c r="B193" s="9" t="n"/>
      <c r="C193" s="9" t="n"/>
      <c r="D193" s="9" t="n"/>
      <c r="E193" s="10" t="n"/>
      <c r="F193" s="10" t="n"/>
      <c r="G193" s="10" t="n"/>
      <c r="H193" s="9" t="n"/>
      <c r="I193" s="9" t="n"/>
      <c r="J193" s="14">
        <f>IF(I193="","",IF(LOWER(I193)="win",H193,IF(LOWER(I193)="loss",-1,IF(LOWER(I193)="breakeven",0,""))))</f>
        <v/>
      </c>
      <c r="K193" s="9" t="n"/>
    </row>
    <row r="194">
      <c r="A194" s="8" t="n"/>
      <c r="B194" s="9" t="n"/>
      <c r="C194" s="9" t="n"/>
      <c r="D194" s="9" t="n"/>
      <c r="E194" s="10" t="n"/>
      <c r="F194" s="10" t="n"/>
      <c r="G194" s="10" t="n"/>
      <c r="H194" s="9" t="n"/>
      <c r="I194" s="9" t="n"/>
      <c r="J194" s="14">
        <f>IF(I194="","",IF(LOWER(I194)="win",H194,IF(LOWER(I194)="loss",-1,IF(LOWER(I194)="breakeven",0,""))))</f>
        <v/>
      </c>
      <c r="K194" s="9" t="n"/>
    </row>
    <row r="195">
      <c r="A195" s="8" t="n"/>
      <c r="B195" s="9" t="n"/>
      <c r="C195" s="9" t="n"/>
      <c r="D195" s="9" t="n"/>
      <c r="E195" s="10" t="n"/>
      <c r="F195" s="10" t="n"/>
      <c r="G195" s="10" t="n"/>
      <c r="H195" s="9" t="n"/>
      <c r="I195" s="9" t="n"/>
      <c r="J195" s="14">
        <f>IF(I195="","",IF(LOWER(I195)="win",H195,IF(LOWER(I195)="loss",-1,IF(LOWER(I195)="breakeven",0,""))))</f>
        <v/>
      </c>
      <c r="K195" s="9" t="n"/>
    </row>
    <row r="196">
      <c r="A196" s="8" t="n"/>
      <c r="B196" s="9" t="n"/>
      <c r="C196" s="9" t="n"/>
      <c r="D196" s="9" t="n"/>
      <c r="E196" s="10" t="n"/>
      <c r="F196" s="10" t="n"/>
      <c r="G196" s="10" t="n"/>
      <c r="H196" s="9" t="n"/>
      <c r="I196" s="9" t="n"/>
      <c r="J196" s="14">
        <f>IF(I196="","",IF(LOWER(I196)="win",H196,IF(LOWER(I196)="loss",-1,IF(LOWER(I196)="breakeven",0,""))))</f>
        <v/>
      </c>
      <c r="K196" s="9" t="n"/>
    </row>
    <row r="197">
      <c r="A197" s="8" t="n"/>
      <c r="B197" s="9" t="n"/>
      <c r="C197" s="9" t="n"/>
      <c r="D197" s="9" t="n"/>
      <c r="E197" s="10" t="n"/>
      <c r="F197" s="10" t="n"/>
      <c r="G197" s="10" t="n"/>
      <c r="H197" s="9" t="n"/>
      <c r="I197" s="9" t="n"/>
      <c r="J197" s="14">
        <f>IF(I197="","",IF(LOWER(I197)="win",H197,IF(LOWER(I197)="loss",-1,IF(LOWER(I197)="breakeven",0,""))))</f>
        <v/>
      </c>
      <c r="K197" s="9" t="n"/>
    </row>
    <row r="198">
      <c r="A198" s="8" t="n"/>
      <c r="B198" s="9" t="n"/>
      <c r="C198" s="9" t="n"/>
      <c r="D198" s="9" t="n"/>
      <c r="E198" s="10" t="n"/>
      <c r="F198" s="10" t="n"/>
      <c r="G198" s="10" t="n"/>
      <c r="H198" s="9" t="n"/>
      <c r="I198" s="9" t="n"/>
      <c r="J198" s="14">
        <f>IF(I198="","",IF(LOWER(I198)="win",H198,IF(LOWER(I198)="loss",-1,IF(LOWER(I198)="breakeven",0,""))))</f>
        <v/>
      </c>
      <c r="K198" s="9" t="n"/>
    </row>
    <row r="199">
      <c r="A199" s="8" t="n"/>
      <c r="B199" s="9" t="n"/>
      <c r="C199" s="9" t="n"/>
      <c r="D199" s="9" t="n"/>
      <c r="E199" s="10" t="n"/>
      <c r="F199" s="10" t="n"/>
      <c r="G199" s="10" t="n"/>
      <c r="H199" s="9" t="n"/>
      <c r="I199" s="9" t="n"/>
      <c r="J199" s="14">
        <f>IF(I199="","",IF(LOWER(I199)="win",H199,IF(LOWER(I199)="loss",-1,IF(LOWER(I199)="breakeven",0,""))))</f>
        <v/>
      </c>
      <c r="K199" s="9" t="n"/>
    </row>
    <row r="200">
      <c r="A200" s="8" t="n"/>
      <c r="B200" s="9" t="n"/>
      <c r="C200" s="9" t="n"/>
      <c r="D200" s="9" t="n"/>
      <c r="E200" s="10" t="n"/>
      <c r="F200" s="10" t="n"/>
      <c r="G200" s="10" t="n"/>
      <c r="H200" s="9" t="n"/>
      <c r="I200" s="9" t="n"/>
      <c r="J200" s="14">
        <f>IF(I200="","",IF(LOWER(I200)="win",H200,IF(LOWER(I200)="loss",-1,IF(LOWER(I200)="breakeven",0,""))))</f>
        <v/>
      </c>
      <c r="K200" s="9" t="n"/>
    </row>
    <row r="201">
      <c r="A201" s="8" t="n"/>
      <c r="B201" s="9" t="n"/>
      <c r="C201" s="9" t="n"/>
      <c r="D201" s="9" t="n"/>
      <c r="E201" s="10" t="n"/>
      <c r="F201" s="10" t="n"/>
      <c r="G201" s="10" t="n"/>
      <c r="H201" s="9" t="n"/>
      <c r="I201" s="9" t="n"/>
      <c r="J201" s="14">
        <f>IF(I201="","",IF(LOWER(I201)="win",H201,IF(LOWER(I201)="loss",-1,IF(LOWER(I201)="breakeven",0,""))))</f>
        <v/>
      </c>
      <c r="K201" s="9" t="n"/>
    </row>
  </sheetData>
  <dataValidations count="2">
    <dataValidation sqref="I2:I201" showDropDown="0" showInputMessage="0" showErrorMessage="0" allowBlank="1" type="list">
      <formula1>"Win,Loss,Breakeven"</formula1>
    </dataValidation>
    <dataValidation sqref="D2:D201" showDropDown="0" showInputMessage="0" showErrorMessage="0" allowBlank="1" type="list">
      <formula1>"Long,Short"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2026-07-18T15:32:28Z</dcterms:created>
  <dcterms:modified xsi:type="dcterms:W3CDTF">2026-07-18T15:32:28Z</dcterms:modified>
</cp:coreProperties>
</file>